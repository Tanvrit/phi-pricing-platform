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pruo365-my.sharepoint.com/personal/supriya_singh_prudentialhealth_in/Documents/Desktop/"/>
    </mc:Choice>
  </mc:AlternateContent>
  <xr:revisionPtr revIDLastSave="0" documentId="8_{1ED637D5-602D-429A-B5DA-16ADF8868E14}" xr6:coauthVersionLast="47" xr6:coauthVersionMax="47" xr10:uidLastSave="{00000000-0000-0000-0000-000000000000}"/>
  <bookViews>
    <workbookView xWindow="-110" yWindow="-110" windowWidth="19420" windowHeight="11500" xr2:uid="{D708BC7A-D160-4F3C-A188-C1E8F5A8C9BE}"/>
  </bookViews>
  <sheets>
    <sheet name="PBT PA" sheetId="1" r:id="rId1"/>
    <sheet name="Eligibility" sheetId="2" r:id="rId2"/>
    <sheet name="PPD PTD Tables" sheetId="3" r:id="rId3"/>
    <sheet name="CI List" sheetId="4" r:id="rId4"/>
    <sheet name="Waiting Periods" sheetId="5" r:id="rId5"/>
  </sheets>
  <definedNames>
    <definedName name="_xlnm._FilterDatabase" localSheetId="3" hidden="1">'CI List'!$L$57:$O$84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94" i="4" l="1"/>
  <c r="Q90" i="4"/>
  <c r="Q91" i="4"/>
  <c r="Q88" i="4"/>
  <c r="Q83" i="4"/>
  <c r="Q84" i="4"/>
  <c r="Q85" i="4"/>
  <c r="Q78" i="4"/>
  <c r="Q72" i="4"/>
  <c r="Q66" i="4"/>
  <c r="Q61" i="4"/>
</calcChain>
</file>

<file path=xl/sharedStrings.xml><?xml version="1.0" encoding="utf-8"?>
<sst xmlns="http://schemas.openxmlformats.org/spreadsheetml/2006/main" count="1512" uniqueCount="581">
  <si>
    <t>A. Basic Covers</t>
  </si>
  <si>
    <t>Accidental Death Cover (AD)</t>
  </si>
  <si>
    <t>Permanent Total Disablement(PTD)</t>
  </si>
  <si>
    <t>Permanent Partial Disablement(PPD)</t>
  </si>
  <si>
    <t>Emergency Road Ambulance Cover</t>
  </si>
  <si>
    <t>B. Optional Covers</t>
  </si>
  <si>
    <t>Temporary Total Disablement (TTD)</t>
  </si>
  <si>
    <t>PTD Table</t>
  </si>
  <si>
    <t>Sr. No.</t>
  </si>
  <si>
    <t>Insured Events</t>
  </si>
  <si>
    <t>Amount payable = % of the Sum Insured applicable against Benefit 2</t>
  </si>
  <si>
    <t>I</t>
  </si>
  <si>
    <t>Total and irrecoverable loss of sight of both eyes, or of the actual loss by physical separation of two entire hands or two entire feet, or one entire hand and one entire foot, or the total and irrecoverable loss of sight of one eye and loss by physical separation of one entire hand or one entire foot</t>
  </si>
  <si>
    <t>II</t>
  </si>
  <si>
    <t>Total and irrecoverable loss of (a) use of two hands or two feet, or (b) one hand and one foot, or (c) sight of one eye and use of one hand or one foot</t>
  </si>
  <si>
    <t>III</t>
  </si>
  <si>
    <t>Total and irrecoverable loss of sight of one eye, or of the actual loss by physical separation of one entire hand or one entire foot</t>
  </si>
  <si>
    <t>IV</t>
  </si>
  <si>
    <t>Total and irrecoverable loss of use of a hand or a foot without physical separation</t>
  </si>
  <si>
    <t>V</t>
  </si>
  <si>
    <t>Paraplegia or Quadriplegia or Hemiplegia</t>
  </si>
  <si>
    <t>PPD Table</t>
  </si>
  <si>
    <t>Amount payable = % of the Sum Insured applicable against Benefit 3</t>
  </si>
  <si>
    <t>Total and irrecoverable loss of hearing in:-</t>
  </si>
  <si>
    <t>a) Both ears</t>
  </si>
  <si>
    <t>b) One ear</t>
  </si>
  <si>
    <t>Loss of toes</t>
  </si>
  <si>
    <t>a) All</t>
  </si>
  <si>
    <t>b) Both phalanges of great toes bilateral</t>
  </si>
  <si>
    <t>c) Both phalanges of one great toe</t>
  </si>
  <si>
    <t>d) Both phalanges of other than great toes for each toe</t>
  </si>
  <si>
    <t>Loss of four fingers and thumb of one hand</t>
  </si>
  <si>
    <t>Loss of four fingers of one hand</t>
  </si>
  <si>
    <t>Loss of thumb</t>
  </si>
  <si>
    <t>a) both phalanges</t>
  </si>
  <si>
    <t>b) one phalanx</t>
  </si>
  <si>
    <t>VI</t>
  </si>
  <si>
    <t>Loss of index finger</t>
  </si>
  <si>
    <t>a) three phalanges</t>
  </si>
  <si>
    <t>b) two phalanges</t>
  </si>
  <si>
    <t>c) One phalanx</t>
  </si>
  <si>
    <t>VII</t>
  </si>
  <si>
    <t>Loss of middle finger</t>
  </si>
  <si>
    <t>VIII</t>
  </si>
  <si>
    <t>Loss of ring finger</t>
  </si>
  <si>
    <t>IX</t>
  </si>
  <si>
    <t>Loss of little finger</t>
  </si>
  <si>
    <t>X</t>
  </si>
  <si>
    <t>Loss of metacarpus</t>
  </si>
  <si>
    <t>a) First or second</t>
  </si>
  <si>
    <t>b) Third, fourth or fifth</t>
  </si>
  <si>
    <t>XI</t>
  </si>
  <si>
    <t>Permanent partial disablement not otherwise provided for under Sr. No. I to X inclu- sive.</t>
  </si>
  <si>
    <t>Percentage of the Sum Insured will be deter- mined in accordance with the medical assess- ment carried out by the Medical Practitioner provided that the per- centage under Insured Event Sr. No. XI shall not exceed 50% of the Sum Insured</t>
  </si>
  <si>
    <t>FRACTURES</t>
  </si>
  <si>
    <t>Description of Fracture</t>
  </si>
  <si>
    <t>Amount payable = % of the Sum Insured applicable under this Benefit</t>
  </si>
  <si>
    <t>Hip or Pelvis (excluding thigh or coccyx): Multiple fractures – at least one</t>
  </si>
  <si>
    <t>Compound Fracture and one Complete Fracture</t>
  </si>
  <si>
    <t>Hip or Pelvis (excluding thigh or coccyx) - All other Compound Fractures</t>
  </si>
  <si>
    <t>Thigh or Heel: Multiple fractures – at least one Compound Fracture and one</t>
  </si>
  <si>
    <t>Complete Fracture</t>
  </si>
  <si>
    <t>Thigh or Heel: Multiple fractures – at least one Complete Fracture</t>
  </si>
  <si>
    <t>Lower leg, skull, clavicle, ankle, elbows, upper or lower arm (including wrist but excluding Colles-type fractures): Multiple Fractures – at least one Compound Fracture and one Complete Fracture</t>
  </si>
  <si>
    <t>Lower leg, skull, clavicle, ankle, elbows, upper or lower arm (including wrist but excluding Colles-type fractures) : All other Compound Fractures</t>
  </si>
  <si>
    <t>Colles type fracture of the lower arm – If Compound Fracture</t>
  </si>
  <si>
    <t>Colles type fracture of the lower arm – If Complete Fracture</t>
  </si>
  <si>
    <t>BURNS</t>
  </si>
  <si>
    <t>Description of Extent of Burn Injury</t>
  </si>
  <si>
    <t>Third degree burns of 30% or more of the total body surface area</t>
  </si>
  <si>
    <t>Second degree burns of 30% or more of the total body surface area</t>
  </si>
  <si>
    <t>Third degree burns of 20% or more, but less than 30% of the total body surface area</t>
  </si>
  <si>
    <t>Second degree burns of 20% or more, but less than 30% of the total body surface area</t>
  </si>
  <si>
    <t>Third degree burns of 10% or more, but less than 20% of the total body surface area</t>
  </si>
  <si>
    <t>Second degree burns of 10% or more, but less than 20% of the total body surface area</t>
  </si>
  <si>
    <t>Third degree burns of 5% or more, but less than 10% of the total body surface area</t>
  </si>
  <si>
    <t>Second degree burns of 5% or more, but less than 10% of the total body surface area</t>
  </si>
  <si>
    <t>Eligibility Criteria</t>
  </si>
  <si>
    <t>Minimum Entry Age</t>
  </si>
  <si>
    <t>Maximum Entry Age</t>
  </si>
  <si>
    <t>Maximum Renewal Age</t>
  </si>
  <si>
    <t>Lifelong</t>
  </si>
  <si>
    <t>Age of Proposer</t>
  </si>
  <si>
    <t>Cover Type</t>
  </si>
  <si>
    <t>Tenure (in Years)</t>
  </si>
  <si>
    <t xml:space="preserve">Minimum </t>
  </si>
  <si>
    <t>Maximum</t>
  </si>
  <si>
    <t>As per PTD Table</t>
  </si>
  <si>
    <t>As per PPD Table</t>
  </si>
  <si>
    <r>
      <t xml:space="preserve">Note: </t>
    </r>
    <r>
      <rPr>
        <sz val="10"/>
        <color theme="1"/>
        <rFont val="Calibri"/>
        <family val="2"/>
      </rPr>
      <t>In case an Injury results in more than one of the ‘Descriptions of Extent of Burn Injury’ above, then Our maximum liability shall not exceed the Sum Insured.</t>
    </r>
  </si>
  <si>
    <t>Covers</t>
  </si>
  <si>
    <t>Cover Description</t>
  </si>
  <si>
    <t>Additional Details</t>
  </si>
  <si>
    <t>Accidental OPD</t>
  </si>
  <si>
    <t>In case of Accidental Death of the insured we will pay the amount in respect of the widowed Spouse of the insured person</t>
  </si>
  <si>
    <t>In case of accidental Death of the insured we will pay the amount in respect of the surviving dependent Parent Single or both parents) of the insured person</t>
  </si>
  <si>
    <t>Permanent Total Disablement(Common Carrier)</t>
  </si>
  <si>
    <t>Permanent Partial Disablement (Common Carrier)</t>
  </si>
  <si>
    <t>Expenses against modification of the vehicle or house to adjust to the disablement is reimbursed</t>
  </si>
  <si>
    <t>Animal Attack</t>
  </si>
  <si>
    <t>Covers medical expenses incurred due to an Injury caused solely and directly by an animal attack on reimbursement basis</t>
  </si>
  <si>
    <t>An amount is paid towards the cost of personal protective equipment damaged in the accident</t>
  </si>
  <si>
    <t>Onetime lumpsum payment done towards specified Funeral Expenses</t>
  </si>
  <si>
    <t>The amount up to the limit specified is reimbursed towards Ambulance Expenses</t>
  </si>
  <si>
    <t>In case of accidental Death of the insured payment is done in respect of Dependent Child (Children) under the age of 25</t>
  </si>
  <si>
    <t>Loss of Earning</t>
  </si>
  <si>
    <t>List of CI [Flexible]</t>
  </si>
  <si>
    <t>1 CI(Unique)</t>
  </si>
  <si>
    <t>4 CI(Unique)</t>
  </si>
  <si>
    <t>16 CI(Unique)</t>
  </si>
  <si>
    <t>32 CI(Unique)</t>
  </si>
  <si>
    <t>48 CI(Unique)</t>
  </si>
  <si>
    <t>Major Cancer</t>
  </si>
  <si>
    <t>Kidney Failure requiring regular dialysis</t>
  </si>
  <si>
    <t>Open Chest Coronary Artery Bypass Graft</t>
  </si>
  <si>
    <t>Infective Endocarditis</t>
  </si>
  <si>
    <t>Chronic Rheumatoid Arthritis</t>
  </si>
  <si>
    <t>Major organ/Bone Marrow Transplant</t>
  </si>
  <si>
    <t>Myocardial Infraction (First Heart attack of specified severity)</t>
  </si>
  <si>
    <t>Pericardectomy</t>
  </si>
  <si>
    <t>Pheochromocytoma</t>
  </si>
  <si>
    <t>Open Heart Replacement/Repair of Heart Valves</t>
  </si>
  <si>
    <t>Refractory heart failure</t>
  </si>
  <si>
    <t>Percutaneous Heart Valve Replacement</t>
  </si>
  <si>
    <t>Eisenmenger's Syndrome</t>
  </si>
  <si>
    <t>Cardiomyopathy</t>
  </si>
  <si>
    <t>Pneumonectomy</t>
  </si>
  <si>
    <t xml:space="preserve">Chronic Adrenal Insufficiency </t>
  </si>
  <si>
    <t xml:space="preserve"> Stroke resulting in permanent symptoms</t>
  </si>
  <si>
    <t>Bariatric Surgery</t>
  </si>
  <si>
    <t>Cardiac Pacemaker insertion</t>
  </si>
  <si>
    <t>Permanent Paralysis of Limbs</t>
  </si>
  <si>
    <t>Percutaneous Transluminal Angioplasty of Renal Artery</t>
  </si>
  <si>
    <t>Surgical removal of an eyeball</t>
  </si>
  <si>
    <t>Parkinson’s disease</t>
  </si>
  <si>
    <t>Severe Progressive Supranuclear Palsy</t>
  </si>
  <si>
    <t>Wilson's disease</t>
  </si>
  <si>
    <t>Primary (Idiopathic) Pulmonary Hypertension</t>
  </si>
  <si>
    <t>Surgical Removal of One Kidney</t>
  </si>
  <si>
    <t>Guillain Barre Syndrome (GBS)</t>
  </si>
  <si>
    <t>End Stage Lung Failure</t>
  </si>
  <si>
    <t>Total Glossectomy</t>
  </si>
  <si>
    <t>Age Related Macular Degeneration</t>
  </si>
  <si>
    <t>Rabies</t>
  </si>
  <si>
    <t>Budd–Chiari syndrome</t>
  </si>
  <si>
    <t>Surgery for removal of Acoustic Neuroma</t>
  </si>
  <si>
    <t>End Stage Liver Failure</t>
  </si>
  <si>
    <t>Carotid Angioplasty</t>
  </si>
  <si>
    <t>Major Brain Surgery</t>
  </si>
  <si>
    <t>Angioplasty</t>
  </si>
  <si>
    <t>Polycystic Kidney Disease</t>
  </si>
  <si>
    <t>Complete Splenectomy</t>
  </si>
  <si>
    <t>Chronic Aplastic Anemia</t>
  </si>
  <si>
    <t>Primary Biliary Cirhosis</t>
  </si>
  <si>
    <t>Whipple procedure</t>
  </si>
  <si>
    <t>Cerebral Aneurysm with Specified Surgery</t>
  </si>
  <si>
    <t>Cardiac Rupture</t>
  </si>
  <si>
    <t>Loss of sight of one eye and loss of one limb</t>
  </si>
  <si>
    <t>Hemiplegia</t>
  </si>
  <si>
    <t>Total Laryngectomy</t>
  </si>
  <si>
    <t xml:space="preserve">Embolization of aquired AV fistula </t>
  </si>
  <si>
    <t>Chronic Relapsing Pancreatitis</t>
  </si>
  <si>
    <t>Cerebral Artery Bypass Surgery</t>
  </si>
  <si>
    <t>Myoxomas</t>
  </si>
  <si>
    <t>Pulmonary Thromboembolism</t>
  </si>
  <si>
    <t>Diabetes Insipidus</t>
  </si>
  <si>
    <t>Carotid endarterectomy Surgery</t>
  </si>
  <si>
    <t>Full dental reconstruction due to accident</t>
  </si>
  <si>
    <t>Spinal Surgery in case of Trauma</t>
  </si>
  <si>
    <t>Keyhole Craniotomy</t>
  </si>
  <si>
    <t>Multiple Sclerosis with Persisting Symptoms</t>
  </si>
  <si>
    <t>Terminal Illness</t>
  </si>
  <si>
    <t>Motor Neuron Disease with Permanent Symptoms</t>
  </si>
  <si>
    <t>Creutzfeldt-Jakob disease</t>
  </si>
  <si>
    <t>Alzheimer’s disease</t>
  </si>
  <si>
    <t>Progressive Scleroderma</t>
  </si>
  <si>
    <t>Benign brain tumor</t>
  </si>
  <si>
    <t>Medullary Cystic Disease</t>
  </si>
  <si>
    <t>Major Head Trauma</t>
  </si>
  <si>
    <t>Muscular dystrophy</t>
  </si>
  <si>
    <t>Apallic syndrome</t>
  </si>
  <si>
    <t>Poliomyelitis</t>
  </si>
  <si>
    <t>Deafness</t>
  </si>
  <si>
    <t>Systemic lupus erythematosus with renal involvement</t>
  </si>
  <si>
    <t>Loss of speech</t>
  </si>
  <si>
    <t>Myasthenia gravis</t>
  </si>
  <si>
    <t>Loss of limbs</t>
  </si>
  <si>
    <t>Good pastures syndrome with lung or renal involvement</t>
  </si>
  <si>
    <t>Loss of independent existence</t>
  </si>
  <si>
    <t>Aorta Graft surgery</t>
  </si>
  <si>
    <t>Blindness</t>
  </si>
  <si>
    <t>Bacterial Meningitis</t>
  </si>
  <si>
    <t>Third Degree Burns</t>
  </si>
  <si>
    <t>Encephalitis</t>
  </si>
  <si>
    <t>Coma of Specified Severity</t>
  </si>
  <si>
    <t>Fulminant Viral Hepatitis</t>
  </si>
  <si>
    <t>Crohn’s Disease</t>
  </si>
  <si>
    <t>Ulcerative Colitis</t>
  </si>
  <si>
    <t>Autoimmune Hepatitis</t>
  </si>
  <si>
    <t>Total Pancreatectomy</t>
  </si>
  <si>
    <t>Tuberculosis Meningitis</t>
  </si>
  <si>
    <t>Dissecting Aortic aneurysm</t>
  </si>
  <si>
    <t>Elephantiasis</t>
  </si>
  <si>
    <t>Myelofibrosis</t>
  </si>
  <si>
    <t>Cystic Fibrosis</t>
  </si>
  <si>
    <t>Total proctocolectomy</t>
  </si>
  <si>
    <t>Toxic epidermal necrolysis (TEN)</t>
  </si>
  <si>
    <t>Chronic PAN (Polyarteritis Nodosa)</t>
  </si>
  <si>
    <t>Adult Polymyositis</t>
  </si>
  <si>
    <t>Giant Cell Arteritis</t>
  </si>
  <si>
    <t>Multiple System Atrophy</t>
  </si>
  <si>
    <t>HIV due to blood transfusion and occupationally acquired HIV</t>
  </si>
  <si>
    <t>If insured suffers from an accidental injury resulting in Accidental death or permanent total disablement due to an injury sustained while engaging in an adventure sport</t>
  </si>
  <si>
    <t>A.Base Covers</t>
  </si>
  <si>
    <t>Sl no</t>
  </si>
  <si>
    <t>1% to 100%</t>
  </si>
  <si>
    <t>Percentage of SI</t>
  </si>
  <si>
    <t xml:space="preserve">10,000
</t>
  </si>
  <si>
    <t>In case of Death, Permanent Total Disablement or Permanent Partial Disablement of the insured, expenses towards the Reasonable and Customary Charges for Medical Expenses incurred is reimbursed</t>
  </si>
  <si>
    <t>Worldwide Emergency Assistance Services (including Air Ambulance)</t>
  </si>
  <si>
    <t>Covers Worldwide Emergency Assistance Services (including Air Ambulance)</t>
  </si>
  <si>
    <t>Network</t>
  </si>
  <si>
    <t>Provides coverage for the insured’s monthly loan EMI payments in case of accidental death, disability, or hospitalization, ensuring financial continuity during such unforeseen events</t>
  </si>
  <si>
    <t>Plan 1</t>
  </si>
  <si>
    <t>Plan2</t>
  </si>
  <si>
    <t>Plan 3</t>
  </si>
  <si>
    <t>Plan 4</t>
  </si>
  <si>
    <t>Plan 5</t>
  </si>
  <si>
    <t>Option to choose SI- 1% to 100%</t>
  </si>
  <si>
    <t>SI Offered</t>
  </si>
  <si>
    <t>Initial waiting period</t>
  </si>
  <si>
    <t>1.PERSONAL ACCIDENT</t>
  </si>
  <si>
    <t>2. CRITICAL ILLNESS COVER</t>
  </si>
  <si>
    <t>Covers expenses incurred in respect of the Medically Necessary transportation of the Insured Person through a registered ambulance service provider to a hospital</t>
  </si>
  <si>
    <t>We will make the payment in respect of the Insured Person’s Dependent Child (children) under the age of 25 and unmarried as on the date of occurrence</t>
  </si>
  <si>
    <t>We will make the payment in respect of the Insured Person’s Dependent Child (children) under the age of 25 as on the date of occurrence</t>
  </si>
  <si>
    <t>Payment done in case of disablement from engaging in his/her primary occupation and loses his/her source of income generation as a consequence of a Critical Illness</t>
  </si>
  <si>
    <t>Payment done towards the psychiatric counselling of the Immediate Family Members in case of Critical Illness of the Insured person</t>
  </si>
  <si>
    <t>Reimbursement done for expenses incurred in respect of any one Immediate Family Member of the Insured Person for transportation by one way airfare or one way first class railway fare in case of Critical Illness of the insured person</t>
  </si>
  <si>
    <t>Upto SI opted
or 1%-100%</t>
  </si>
  <si>
    <t>3. HOSPITAL CASH</t>
  </si>
  <si>
    <t>Option to choose % max upto limit or SI opted</t>
  </si>
  <si>
    <t xml:space="preserve">Option to choose the combination of Min max si or % </t>
  </si>
  <si>
    <t>Medicab Cover</t>
  </si>
  <si>
    <t>Lumpsum pay for the transportation of the Insured Person to the nearest Hospital and/or from Hospital to home</t>
  </si>
  <si>
    <t>Once in a policy year</t>
  </si>
  <si>
    <t>Lumpsum pay for dependent children if both parents (or the primary insured) pass away during the policy term</t>
  </si>
  <si>
    <t>3 Months salary or Si opted, whichever is lesser</t>
  </si>
  <si>
    <t>50 Lacs</t>
  </si>
  <si>
    <t xml:space="preserve">
Once in a policy year</t>
  </si>
  <si>
    <t>1000 or,
(lump sum as per table)</t>
  </si>
  <si>
    <t>Options: a)Base SI
b)Over and above Base SI</t>
  </si>
  <si>
    <t>Over and Above the AD SI</t>
  </si>
  <si>
    <t>Payment Done towards psycateric counselling</t>
  </si>
  <si>
    <t>1 Lacs</t>
  </si>
  <si>
    <t xml:space="preserve">TBD  </t>
  </si>
  <si>
    <t>Repatriation of Mortal Remains</t>
  </si>
  <si>
    <t xml:space="preserve">Covers medical expenses towards the cost associated with the transportation of mortal remains from the place of death  to the home location </t>
  </si>
  <si>
    <t>0 days</t>
  </si>
  <si>
    <t>90 days</t>
  </si>
  <si>
    <t xml:space="preserve">5 Cr
</t>
  </si>
  <si>
    <t>Loan Shield</t>
  </si>
  <si>
    <t>a) Outstanding  loan amount on fixed basis
b) Outstanding loan amount only</t>
  </si>
  <si>
    <t>Cost of Support Items</t>
  </si>
  <si>
    <t xml:space="preserve">We shall reimburse expenses incurred towards support items if we have accepted a claim under Permanent Total Disablement, Permanent Partial Disablement, or Temporary Total Disablement in  This includes but is not limited to crutches, artificial limbs, wheelchairs, tri-cycles, intra-ocular lenses, spectacles, imported medicines, or any other item deemed necessary by a medical practitioner for the insured person's normal living due to the injury sustained in the accident, up to the limit specified in the Policy Schedule or Certificate of Insurance..
</t>
  </si>
  <si>
    <t>Purchase of Blood</t>
  </si>
  <si>
    <t>0 Day/1 day/2 Days upto 10 Days</t>
  </si>
  <si>
    <t>Rs 500 to Rs 50,000 (In multiples of 500) - In case of ICU hospitalization, Daily cash limit will be doubled.</t>
  </si>
  <si>
    <t xml:space="preserve">Lumpsum pay for expenses incurred in purchasing blood through a hospital or government-approved blood bank for the purpose of the insured person’s medical or surgical treatment, up to the amount specified in the Certificate of Insurance. This amount is payable in addition to the sum insured and is applicable for each person covered under the policy.
Linked to Accidental Hospitalization </t>
  </si>
  <si>
    <t>NA</t>
  </si>
  <si>
    <t>Day1</t>
  </si>
  <si>
    <t>Individual/Floater/Multi Individual</t>
  </si>
  <si>
    <t>Policy Type</t>
  </si>
  <si>
    <t>Name/Unnamed</t>
  </si>
  <si>
    <t>Days/Months/1/ 2/ 3/ 4/ 5</t>
  </si>
  <si>
    <t>Cost of clothing</t>
  </si>
  <si>
    <t>Product cover Table</t>
  </si>
  <si>
    <t>Capital Sum Insured / Sum insured as applicable paid on cover basis if accidental Injury solely and directly results in the death of the Insured</t>
  </si>
  <si>
    <t>% Capital Sum Insured / Sum insured as applicable paid on cover basis if accidental Injury solely and directly results in the Permanent Total Disablement of the Insured</t>
  </si>
  <si>
    <t>% Capital Sum Insured / Sum insured as applicable paid on cover basis if accidental Injury solely and directly results in the Permanent Partial Disablement of the Insured</t>
  </si>
  <si>
    <t>Accidental Hospitalization cover</t>
  </si>
  <si>
    <t>Child Education cover</t>
  </si>
  <si>
    <t>Marriage cover for Dependent Children</t>
  </si>
  <si>
    <t>Orphan cover</t>
  </si>
  <si>
    <t>Modification cover (Residence and vehicle)</t>
  </si>
  <si>
    <t>Rehabilitation cover</t>
  </si>
  <si>
    <t>Coma cover</t>
  </si>
  <si>
    <t>Payment done on cover basis if an insured person suffers a coma due to an injury directly due to an accident</t>
  </si>
  <si>
    <t>Burn cover</t>
  </si>
  <si>
    <t>%of the SI paid on cover basis if an Insured Person sustains burns due to an accident and results in conditions specified in the policy</t>
  </si>
  <si>
    <t>Accidental Death cover (Common Carrier)</t>
  </si>
  <si>
    <t>Payment done on cover basis if an insured person suffers an injury during the policy period solely and directly due to an accident that occurs while the insured person is the authorized passenger on a common carrier which results in the death of the insured</t>
  </si>
  <si>
    <t>Payment done on cover basis if an insured person suffers an injury during the policy period solely and directly due to an accident that occurs while the insured person is the authorized passenger on a common carrier which results in the Permanent Total Disablement of the insured</t>
  </si>
  <si>
    <t>Payment done on cover basis if an insured person suffers an injury during the policy period solely and directly due to an accident that occurs while the insured person is the authorized passenger on a common carrier which results in the Permanent Partial Disablement of the insured</t>
  </si>
  <si>
    <t>Spouse cover</t>
  </si>
  <si>
    <t>Family Counselling cover</t>
  </si>
  <si>
    <t>Cost of PPE Damaged in Accident cover</t>
  </si>
  <si>
    <t>Emergency Road Ambulance cover</t>
  </si>
  <si>
    <t>Loss of Earning cover</t>
  </si>
  <si>
    <t>Family Transportation Allowance cover</t>
  </si>
  <si>
    <t>Daily Cash cover (DCB) (Accident or Illness)</t>
  </si>
  <si>
    <t>Daily Cash cover (DCB)  Accident Only</t>
  </si>
  <si>
    <t>Provides financial protection for personal items that are damaged, lost, or destroyed as a result of an accident</t>
  </si>
  <si>
    <t>Covers the loss/damage of clothes especially uniforms etc of employees/members of a group as a result of an accident subject to SI</t>
  </si>
  <si>
    <t>Medical Second Opinion</t>
  </si>
  <si>
    <t>Disappearance Cover</t>
  </si>
  <si>
    <t>Risk Class II</t>
  </si>
  <si>
    <t>Risk Class III</t>
  </si>
  <si>
    <t>Risk Class I</t>
  </si>
  <si>
    <t>Persons working in underground mines, explosives, magazines, workers involved in electrical installation with high tension supply. Circus personnel, persons engaged in activities like racing, horse back riding, big game hunting, Mountaineering, winter sports, skiing, ice hockey, ballooning, hand gliding, river rafting, polo, Stuntmen in film and persons engaged in occupations / activities of similar hazard.</t>
  </si>
  <si>
    <r>
      <t xml:space="preserve">If the insured person </t>
    </r>
    <r>
      <rPr>
        <sz val="10"/>
        <color theme="1"/>
        <rFont val="Segoe UI"/>
        <family val="2"/>
      </rPr>
      <t>goes missing due to an accident and their death cannot be immediately confirmed but is reasonably presumed, lumpsum will be paid</t>
    </r>
  </si>
  <si>
    <t xml:space="preserve">10000
</t>
  </si>
  <si>
    <t>Mode should be cashless as well as reimbursement</t>
  </si>
  <si>
    <t>Payment Done in case of disablement from engaging in his/her primary occupation and looses his source of income generation</t>
  </si>
  <si>
    <t>Cost of one-way/two-way economy airfare or first-class train ticket for an immediate family member to travel to the insured person’s place of hospitalization in case of an emergency or accident.</t>
  </si>
  <si>
    <t>% of the SI paid on cover basis if an Insured Person sustains Broken bones and results in conditions specified in the policy</t>
  </si>
  <si>
    <t xml:space="preserve"> 50 Lac or
(lump sum as per table)</t>
  </si>
  <si>
    <t>Re-skilling Expenses</t>
  </si>
  <si>
    <t>In case of PPD or PTD, we will reimburse the reasonable costs actually incurred to re-skilling the insured person for an alternate occupation(Developing a new skill)</t>
  </si>
  <si>
    <t>Check Legal Clause- UW to check
check predictability</t>
  </si>
  <si>
    <t>Loss of belongings</t>
  </si>
  <si>
    <t>Check-Assignment Clause</t>
  </si>
  <si>
    <t>A second opinion from network/Non network, for treatment of the listed/opted CI of the insured person</t>
  </si>
  <si>
    <t>1 Cr</t>
  </si>
  <si>
    <t>Reimbursement done for expenses incurred in respect of any one Immediate Family Member of the Insured Person for fooding and lodging in case of a critical illness</t>
  </si>
  <si>
    <t>Family Assistance Allowance cover</t>
  </si>
  <si>
    <r>
      <rPr>
        <sz val="10"/>
        <color rgb="FF231F20"/>
        <rFont val="Calibri"/>
        <family val="2"/>
      </rPr>
      <t>Accidental Medical Expenses</t>
    </r>
  </si>
  <si>
    <r>
      <rPr>
        <sz val="10"/>
        <color rgb="FF231F20"/>
        <rFont val="Calibri"/>
        <family val="2"/>
      </rPr>
      <t>Funeral Expenses</t>
    </r>
  </si>
  <si>
    <r>
      <rPr>
        <sz val="10"/>
        <color rgb="FF231F20"/>
        <rFont val="Calibri"/>
        <family val="2"/>
      </rPr>
      <t>Compassionate visit</t>
    </r>
  </si>
  <si>
    <r>
      <rPr>
        <sz val="10"/>
        <color rgb="FF231F20"/>
        <rFont val="Calibri"/>
        <family val="2"/>
      </rPr>
      <t>Adventure Sports Cover</t>
    </r>
  </si>
  <si>
    <r>
      <rPr>
        <sz val="10"/>
        <color rgb="FF231F20"/>
        <rFont val="Calibri"/>
        <family val="2"/>
      </rPr>
      <t>Available</t>
    </r>
  </si>
  <si>
    <t>Lumpsum pay for irreversible physical loss or functional loss of limbs or body parts due to an accident,</t>
  </si>
  <si>
    <r>
      <rPr>
        <sz val="10"/>
        <color rgb="FF231F20"/>
        <rFont val="Calibri"/>
        <family val="2"/>
      </rPr>
      <t>Sum Insured</t>
    </r>
  </si>
  <si>
    <r>
      <rPr>
        <sz val="10"/>
        <color rgb="FF231F20"/>
        <rFont val="Calibri"/>
        <family val="2"/>
      </rPr>
      <t>Critical Illness Cover</t>
    </r>
  </si>
  <si>
    <r>
      <rPr>
        <sz val="10"/>
        <color rgb="FF231F20"/>
        <rFont val="Calibri"/>
        <family val="2"/>
      </rPr>
      <t>Initial waiting period</t>
    </r>
  </si>
  <si>
    <r>
      <rPr>
        <sz val="10"/>
        <color rgb="FF231F20"/>
        <rFont val="Calibri"/>
        <family val="2"/>
      </rPr>
      <t>90 days</t>
    </r>
  </si>
  <si>
    <r>
      <rPr>
        <sz val="10"/>
        <color rgb="FF231F20"/>
        <rFont val="Calibri"/>
        <family val="2"/>
      </rPr>
      <t>Survival Period</t>
    </r>
  </si>
  <si>
    <r>
      <rPr>
        <sz val="10"/>
        <color rgb="FF231F20"/>
        <rFont val="Calibri"/>
        <family val="2"/>
      </rPr>
      <t>Second E Opinion (optional)</t>
    </r>
  </si>
  <si>
    <r>
      <rPr>
        <sz val="10"/>
        <color rgb="FF231F20"/>
        <rFont val="Calibri"/>
        <family val="2"/>
      </rPr>
      <t>Days per Policy Year limit</t>
    </r>
  </si>
  <si>
    <r>
      <rPr>
        <sz val="10"/>
        <color rgb="FF231F20"/>
        <rFont val="Calibri"/>
        <family val="2"/>
      </rPr>
      <t>10 Day /15 Day/ 30 days/ 45 days/ 60 days</t>
    </r>
    <r>
      <rPr>
        <sz val="10"/>
        <rFont val="Calibri"/>
        <family val="2"/>
      </rPr>
      <t>/90 Days</t>
    </r>
  </si>
  <si>
    <r>
      <rPr>
        <sz val="10"/>
        <color rgb="FF231F20"/>
        <rFont val="Calibri"/>
        <family val="2"/>
      </rPr>
      <t>Deductible per claim</t>
    </r>
  </si>
  <si>
    <r>
      <rPr>
        <sz val="10"/>
        <color rgb="FF231F20"/>
        <rFont val="Calibri"/>
        <family val="2"/>
      </rPr>
      <t>30 days</t>
    </r>
  </si>
  <si>
    <t>1000 to 50 Lacs</t>
  </si>
  <si>
    <t>Risk Categories</t>
  </si>
  <si>
    <t>x% of SI opted</t>
  </si>
  <si>
    <t>Reimbursement of the reasonable and customary charges for counselling fees, specialist consultation and extended physiotherapy on an out patient cover</t>
  </si>
  <si>
    <t>Lumpsum payment done against medically necessary treatment of an Accidental injury and the continuation of such Hospitalization is medically Necessary for at least 10 consecutive days</t>
  </si>
  <si>
    <t>Dependent Children cover</t>
  </si>
  <si>
    <t>Discussion pending for separate CI Offering</t>
  </si>
  <si>
    <t xml:space="preserve">50 Cr
</t>
  </si>
  <si>
    <t xml:space="preserve">
Option to opt with accidental hospitalization, or separate</t>
  </si>
  <si>
    <t>Coverage up to the lowest of following:
1) Actual Expenses
2) 5% of Accidental death SI
3) 5% of admissible claim under PTD
4) 5% of admissible claim under PPD
5) 5% of admissible claim under TTD
6) ` From Rs 1,000
(in-patient expenses not covered)</t>
  </si>
  <si>
    <t>Coverage up to the Highest of following:
1) Actual Expenses
2) 100% of Accidental death SI
3) 100% of admissible claim under PTD
4) 100% of admissible claim under PPD
5) 100% of admissible claim under TTD
6) ` Upto 50 Cr
(in-patient expenses not covered)</t>
  </si>
  <si>
    <t>1% to 150%</t>
  </si>
  <si>
    <t>Accidental Dismemberment Cover</t>
  </si>
  <si>
    <t>Name of the waiting Period</t>
  </si>
  <si>
    <t>Options
(cover wise, benefit wise,insured wise waiting period can be selected)</t>
  </si>
  <si>
    <t xml:space="preserve">Initial Waiting Period </t>
  </si>
  <si>
    <t>Waiting Period</t>
  </si>
  <si>
    <t>0 Days since the date of inception of the cover</t>
  </si>
  <si>
    <t>30/60/90 Days since the date of inception of the cover</t>
  </si>
  <si>
    <t>Specific Illness Waiting Period</t>
  </si>
  <si>
    <t>Diagnosis Waiting Period</t>
  </si>
  <si>
    <t>1 Month - 24 Months (In multiples of 1 month) since the date of inception of the cover</t>
  </si>
  <si>
    <t>(first diagnosis and/or manifestataion first commence/occurs within) 1 day to180 days (in multiple of 1 day) since the date of inception of the cover</t>
  </si>
  <si>
    <t>Survival Period for Diagnosis Based Benefit Cover</t>
  </si>
  <si>
    <t>0-30 Days since date of first diagnosis and/or manifestation first commence/occurs of covered illness</t>
  </si>
  <si>
    <t xml:space="preserve">1000
</t>
  </si>
  <si>
    <t>5 Cr</t>
  </si>
  <si>
    <t>Option to choose-SI Opted Or x Times of the salary Where x can be any number (Not exceeding than the max SI).</t>
  </si>
  <si>
    <t>1a</t>
  </si>
  <si>
    <t>1b</t>
  </si>
  <si>
    <t>1c</t>
  </si>
  <si>
    <t>Accidental Pre Hospitalisation</t>
  </si>
  <si>
    <t>Accidental Post Hospitalisation</t>
  </si>
  <si>
    <t>Option to apply condition for cover eligibility after continuous hospitalisation of 1 hr-30 Days</t>
  </si>
  <si>
    <r>
      <rPr>
        <sz val="10"/>
        <color rgb="FFFF0000"/>
        <rFont val="Calibri"/>
        <family val="2"/>
      </rPr>
      <t>Lesser of 1 &amp; 2</t>
    </r>
    <r>
      <rPr>
        <sz val="10"/>
        <color theme="1"/>
        <rFont val="Calibri"/>
        <family val="2"/>
      </rPr>
      <t xml:space="preserve">
a)1/2/3/4/5 % of the Capital SI/Highest Sum Insured opted for AD/PTD/PPD, as applicable
OR
b)The fixed opted SI per week paid on cover basis if accidental Injury solely and directly results in the Temporary Total Disablement of the Insured
</t>
    </r>
    <r>
      <rPr>
        <sz val="10"/>
        <color rgb="FFFF0000"/>
        <rFont val="Calibri"/>
        <family val="2"/>
      </rPr>
      <t>To be redrafted</t>
    </r>
  </si>
  <si>
    <t xml:space="preserve">In case of accidental Death or Permanent Total Disablement, we will pay the tuition fees paid towards the Dependent Child (Children) Education for the policy period </t>
  </si>
  <si>
    <t>Proposer to be corporate</t>
  </si>
  <si>
    <r>
      <t xml:space="preserve">Students, Housewives, Accountants, Doctors, Lawyers, Individuals working in Banking and Financial institutions, Administrative and managerial, teachers, Bankers, person engaged in Administrative, Secretarial and Managerial occupations. Shopkeepers, Salesmen, </t>
    </r>
    <r>
      <rPr>
        <sz val="10"/>
        <color rgb="FFFF0000"/>
        <rFont val="Calibri"/>
        <family val="2"/>
      </rPr>
      <t>Commercial Travellers</t>
    </r>
    <r>
      <rPr>
        <sz val="10"/>
        <color theme="1"/>
        <rFont val="Calibri"/>
        <family val="2"/>
      </rPr>
      <t xml:space="preserve"> and persons employed in occupations of similar nature.
Builders, Contractors and Engineers engaged in superintending functions only.</t>
    </r>
  </si>
  <si>
    <t>Paid drivers of Motor cars and Light Motor Vehicles and persons engaged in occupations of similar nature. Persons engaged in handling goods, chemicals, Grains elevator, farmers, shooting gallery, Motor Driving Instructor, Public transport, Construction works, Geologist, Surveyor for Oil companies, Heavy equipment Operators, Security Guards, Forestry, Civil Surveyors, Firemen, Photo Graphers, Offshore works, Persons engaged in Sports Duty, Film Show and shooting except as Stuntmen.</t>
  </si>
  <si>
    <t>NA- Corporate</t>
  </si>
  <si>
    <t>Daily Cash cover (DCB)  Illness Only</t>
  </si>
  <si>
    <t>Max upto 6 EMI totalling upto the following options (in `):
50000, 75000, 100000, 200000, 300000, 400000, 500000</t>
  </si>
  <si>
    <t>Accident Air Ambulance Cover</t>
  </si>
  <si>
    <t>New addition</t>
  </si>
  <si>
    <t xml:space="preserve">Covers air ambulance transfer of the Insured Person during a medical emergency to the nearest hospital or another hospital for advanced care, when other modes of transport are inadequate.
Such transfer must be medically necessary, doctor‑certified, and is covered up to the limit stated in the Policy Schedule, subject to policy terms.
</t>
  </si>
  <si>
    <t>New Addition</t>
  </si>
  <si>
    <t>EMI Protect</t>
  </si>
  <si>
    <t>Add PED Waiting Period</t>
  </si>
  <si>
    <t>Duplicacy</t>
  </si>
  <si>
    <t>Provides financial protection for medical expenses incurred when an insured person is hospitalized as an in-patient due to an accident.
Select one or more 
In patient hospitalisation</t>
  </si>
  <si>
    <t>Type of Permanent Total Disability (PTD)</t>
  </si>
  <si>
    <t>% of Sum Insured</t>
  </si>
  <si>
    <t>Total and irrecoverable loss of sight of both eyes.</t>
  </si>
  <si>
    <t>Loss by physical separation or total and permanent loss of use of both hands or both feet</t>
  </si>
  <si>
    <t>Loss by physical separation or total and permanent loss of use of one hand and one foot.</t>
  </si>
  <si>
    <t>Total and irrecoverable loss of sight of one eye and loss of a Limb.</t>
  </si>
  <si>
    <t>Total and irrecoverable loss of hearing of both ears and loss of one Limb / loss of sight of one eye.</t>
  </si>
  <si>
    <t>Total and irrecoverable loss of hearing of both ears and loss of speech.</t>
  </si>
  <si>
    <t>Total and irrecoverable loss of speech and loss of one Limb/ loss of sight of one eye.</t>
  </si>
  <si>
    <t>Permanent total and absolute disablement (not falling under the above) disabling the Insured Person from engaging in any employment or occupation or business for remuneration or profit, of any description whatsoever which results in Loss of Independent Living</t>
  </si>
  <si>
    <t>Loss Covered</t>
  </si>
  <si>
    <t>Percentage of Sum Insured</t>
  </si>
  <si>
    <t>Loss of Use / Physical Separation:</t>
  </si>
  <si>
    <t>One entire hand</t>
  </si>
  <si>
    <t>One entire foot</t>
  </si>
  <si>
    <t>Loss of Sight of one eye</t>
  </si>
  <si>
    <t>Loss of toes – all</t>
  </si>
  <si>
    <t>Great both phalanges</t>
  </si>
  <si>
    <t>Great – one phalanx</t>
  </si>
  <si>
    <t>Other than great if more than one toe lost</t>
  </si>
  <si>
    <t>Loss of Use of both ears</t>
  </si>
  <si>
    <t>Loss of Use of one ear</t>
  </si>
  <si>
    <t>Loss of four fingers</t>
  </si>
  <si>
    <t>Both phalanges</t>
  </si>
  <si>
    <t>One phalanx</t>
  </si>
  <si>
    <t>Loss of Index finger</t>
  </si>
  <si>
    <t>Three phalanges</t>
  </si>
  <si>
    <t>Two phalanges</t>
  </si>
  <si>
    <t>First or Second (additional)</t>
  </si>
  <si>
    <t>Third, Fourth or Fifth (additional)</t>
  </si>
  <si>
    <t>Any other permanent partial disablement</t>
  </si>
  <si>
    <t>Percentage as assessed by the independent Medical Practitioner</t>
  </si>
  <si>
    <t>Note: In case an Injury results in more than one of the ‘Descriptions of Extent of Burn Injury’ above, then Our maximum liability shall not exceed the Sum Insured.</t>
  </si>
  <si>
    <t>Description</t>
  </si>
  <si>
    <t>Percentage of Sum Assured</t>
  </si>
  <si>
    <t>A</t>
  </si>
  <si>
    <t>Hip or Pelvis (excluding thigh or coccyx)</t>
  </si>
  <si>
    <t xml:space="preserve">Open Fracture of more than one bone   </t>
  </si>
  <si>
    <t xml:space="preserve">Open Fracture of one bone </t>
  </si>
  <si>
    <t>Closed Fracture of more than one bone</t>
  </si>
  <si>
    <t>Closed Fracture one bone</t>
  </si>
  <si>
    <t>B</t>
  </si>
  <si>
    <t>Thigh or Lower Leg</t>
  </si>
  <si>
    <t>Open Fracture of more than one bone</t>
  </si>
  <si>
    <t>Open Fracture of one bone</t>
  </si>
  <si>
    <t>C</t>
  </si>
  <si>
    <t>Elbows, Arm (including wrist but excluding Colles type fractures)</t>
  </si>
  <si>
    <t>D</t>
  </si>
  <si>
    <t>Colles type fracture of the lower arm</t>
  </si>
  <si>
    <t>Open Fracture</t>
  </si>
  <si>
    <t>Closed Fracture</t>
  </si>
  <si>
    <t>E</t>
  </si>
  <si>
    <t>Skull</t>
  </si>
  <si>
    <t>Fracture of the skull needing surgical Intervention</t>
  </si>
  <si>
    <t>Fracture of the skull not needing surgical Intervention</t>
  </si>
  <si>
    <t>F</t>
  </si>
  <si>
    <t>Shoulder Blade, Rib(s), Knee cap, Sternum, Hand (excluding fingers andwrist), Foot (excluding toes or heel)</t>
  </si>
  <si>
    <t xml:space="preserve">Open Fracture </t>
  </si>
  <si>
    <t xml:space="preserve">Closed Fracture </t>
  </si>
  <si>
    <t>G</t>
  </si>
  <si>
    <t>Spinal Column (Vertebrae but excluding coccyx)</t>
  </si>
  <si>
    <t>All compression fractures</t>
  </si>
  <si>
    <t>All spinous, transverse process of pedicle fractures</t>
  </si>
  <si>
    <t>Permanent Spinal Cord damage</t>
  </si>
  <si>
    <t>All vertebral fractures</t>
  </si>
  <si>
    <t>H</t>
  </si>
  <si>
    <t>Lower Jaw</t>
  </si>
  <si>
    <t>Cheekbone, Clavicle, Coccyx, Upper Jaw, Nose, Toe(s), Finger(s), Ankle, Heel</t>
  </si>
  <si>
    <t>J</t>
  </si>
  <si>
    <t>Dislocations requiring surgery under anesthesia</t>
  </si>
  <si>
    <t>Spine</t>
  </si>
  <si>
    <t>Back (Excluding slipped disc)</t>
  </si>
  <si>
    <t>Hip</t>
  </si>
  <si>
    <t>Knee (Left or right)</t>
  </si>
  <si>
    <t>Wrist (Left or right)</t>
  </si>
  <si>
    <t>Elbow (Left or right)</t>
  </si>
  <si>
    <t>Ankle (Left or right)</t>
  </si>
  <si>
    <t>Shoulder blade (Left or right)</t>
  </si>
  <si>
    <t>Collarbone</t>
  </si>
  <si>
    <t>Fingers (Left or right hand)</t>
  </si>
  <si>
    <t>Toes (Left or right foot)</t>
  </si>
  <si>
    <t>Jaw</t>
  </si>
  <si>
    <t>K</t>
  </si>
  <si>
    <t>Internal Injuries</t>
  </si>
  <si>
    <t>Internal injuries resulting in open abdominal or Thoracic Surgery</t>
  </si>
  <si>
    <t>Intracranial hemorrhage and/ or physical brain injury</t>
  </si>
  <si>
    <t>To be reviewd by Zeeshan</t>
  </si>
  <si>
    <r>
      <t>Broken Bones</t>
    </r>
    <r>
      <rPr>
        <strike/>
        <sz val="10"/>
        <color rgb="FF231F20"/>
        <rFont val="Calibri"/>
        <family val="2"/>
      </rPr>
      <t>/Fracture cover</t>
    </r>
  </si>
  <si>
    <t>Supress</t>
  </si>
  <si>
    <t>Legal Expense Support</t>
  </si>
  <si>
    <t>In the event the Insured person is involved in any legal proceedings arising directly out of an Accident sustained during the Policy Period, We shall reimburse reasonable legal expenses incurred, subject to the limits specified</t>
  </si>
  <si>
    <t xml:space="preserve">Assaults &amp; Injury Cover </t>
  </si>
  <si>
    <t>Maternity-related Accidental Complications</t>
  </si>
  <si>
    <r>
      <t xml:space="preserve">
</t>
    </r>
    <r>
      <rPr>
        <sz val="10"/>
        <color rgb="FF000000"/>
        <rFont val="Calibri"/>
        <family val="2"/>
      </rPr>
      <t xml:space="preserve">We shall pay the specified benefit if the Insured person sustains bodily injury arising out of an assault or violent physical attack by a third party, resulting in medical treatment or hospitalisation, during the Policy Period, subject to the terms and conditions of the Policy
</t>
    </r>
  </si>
  <si>
    <r>
      <t xml:space="preserve">
</t>
    </r>
    <r>
      <rPr>
        <sz val="10"/>
        <color rgb="FF000000"/>
        <rFont val="Calibri"/>
        <family val="2"/>
      </rPr>
      <t>We shall pay the specified benefit if the Insured Woman suffers an accidental injury during pregnancy which directly results in medical complications requiring in‑patient hospitalisation, subject to the terms and conditions of the Policy</t>
    </r>
  </si>
  <si>
    <t>Domestic Help Support</t>
  </si>
  <si>
    <r>
      <t xml:space="preserve">Plan 1 to Plan </t>
    </r>
    <r>
      <rPr>
        <strike/>
        <sz val="10"/>
        <color rgb="FF231F20"/>
        <rFont val="Calibri"/>
        <family val="2"/>
      </rPr>
      <t xml:space="preserve">5 </t>
    </r>
    <r>
      <rPr>
        <sz val="10"/>
        <color rgb="FF231F20"/>
        <rFont val="Calibri"/>
        <family val="2"/>
      </rPr>
      <t>7</t>
    </r>
  </si>
  <si>
    <t>CI List (Incremental)</t>
  </si>
  <si>
    <t>7 CIs</t>
  </si>
  <si>
    <t>11 CIs</t>
  </si>
  <si>
    <t>15 CIs</t>
  </si>
  <si>
    <t>25 CIs</t>
  </si>
  <si>
    <t>35 CIs</t>
  </si>
  <si>
    <t>60 CIs</t>
  </si>
  <si>
    <t>11 Cis (Women Specific)</t>
  </si>
  <si>
    <t>Plan 2</t>
  </si>
  <si>
    <t>Plan 6</t>
  </si>
  <si>
    <t>Plan 7</t>
  </si>
  <si>
    <t>Myocardial Infarction (First Heart Attack - Of Specified Severity)</t>
  </si>
  <si>
    <t>✓</t>
  </si>
  <si>
    <t>Major Organ / Bone Marrow Transplant</t>
  </si>
  <si>
    <t>Cancer of Specified Severity</t>
  </si>
  <si>
    <t>×</t>
  </si>
  <si>
    <t>Kidney Failure Requiring Regular Dialysis</t>
  </si>
  <si>
    <t>Stroke Resulting in Permanent Symptoms</t>
  </si>
  <si>
    <t>Open Chest CABG</t>
  </si>
  <si>
    <t>Open Heart Replacement or Repair of Heart Valves</t>
  </si>
  <si>
    <t>Parkinson’s Disease</t>
  </si>
  <si>
    <t>Benign Brain Tumour</t>
  </si>
  <si>
    <t>Alzheimer’s Disease</t>
  </si>
  <si>
    <t>Major Surgery of Aorta</t>
  </si>
  <si>
    <t>Loss of Limbs</t>
  </si>
  <si>
    <t>Loss of Speech</t>
  </si>
  <si>
    <t>Aplastic Anaemia</t>
  </si>
  <si>
    <t>Fulminant Hepatitis</t>
  </si>
  <si>
    <t>Medullary Cystic Kidney Disease</t>
  </si>
  <si>
    <t>Muscular Dystrophy</t>
  </si>
  <si>
    <t>Brain Surgery</t>
  </si>
  <si>
    <t>Myasthenia Gravis</t>
  </si>
  <si>
    <t>Systemic Lupus Erythematous With Renal Involvement</t>
  </si>
  <si>
    <t>Severe Rheumatoid Arthritis</t>
  </si>
  <si>
    <t>Loss of Independent Existence (Cover up to Age 74)</t>
  </si>
  <si>
    <t>Other Serious Coronary Artery Diseases</t>
  </si>
  <si>
    <t>Apallic Syndrome</t>
  </si>
  <si>
    <t>Creutzfeldt-Jakob Disease</t>
  </si>
  <si>
    <t>Pneumonectomy (Surgical Removal of One Lung)</t>
  </si>
  <si>
    <t>Severe Ulcerative Colitis</t>
  </si>
  <si>
    <t>Progressive Supranuclear Palsy - Resulting In Permanent Symptoms</t>
  </si>
  <si>
    <t>Good Pastures Syndrome With Lung And Renal Involvement</t>
  </si>
  <si>
    <t>Severe Crohn's Disease</t>
  </si>
  <si>
    <t>Necrotising Fasciitis</t>
  </si>
  <si>
    <t>Tuberculous Meningitis</t>
  </si>
  <si>
    <t>Primary Myelofibrosis</t>
  </si>
  <si>
    <t>Loss of use of One Limb and Loss of Sight in One Eye</t>
  </si>
  <si>
    <t>Refractory Heart Failure</t>
  </si>
  <si>
    <t>Takayasu Arteritis</t>
  </si>
  <si>
    <t>Severe Guillain-Barre Syndrome</t>
  </si>
  <si>
    <t>Spinal Stroke</t>
  </si>
  <si>
    <t>Benign Spinal Cord Tumour with Neurological Deficit</t>
  </si>
  <si>
    <t>Severe Progressive Bulbar Palsy</t>
  </si>
  <si>
    <t>Breast Cancer</t>
  </si>
  <si>
    <t>Ovarian Cancer</t>
  </si>
  <si>
    <t>Cervical Cancer</t>
  </si>
  <si>
    <t>Uterine (Endometrial) Cancer</t>
  </si>
  <si>
    <t>Fallopian Tube Cancer</t>
  </si>
  <si>
    <t>Vaginal Cancer</t>
  </si>
  <si>
    <t>Severe Osteoporosis with Fractures</t>
  </si>
  <si>
    <t>EMI cover is already available, loan shield for EE is not required</t>
  </si>
  <si>
    <t>New Addition - Extension of RFB Covers</t>
  </si>
  <si>
    <t>Add all plans inplan 7</t>
  </si>
  <si>
    <t>Check with pricing</t>
  </si>
  <si>
    <r>
      <t xml:space="preserve">In case of Death, Permanent Total Disablement, PPD, we will make the payment in respect of the Insured Person’s Dependent Child (children) under the age of </t>
    </r>
    <r>
      <rPr>
        <sz val="10"/>
        <color theme="1" tint="4.9989318521683403E-2"/>
        <rFont val="Calibri"/>
        <family val="2"/>
      </rPr>
      <t>25</t>
    </r>
    <r>
      <rPr>
        <sz val="10"/>
        <color theme="1"/>
        <rFont val="Calibri"/>
        <family val="2"/>
      </rPr>
      <t xml:space="preserve">  and unmarried as on the date of occurrence
(Irrespective of number of child)</t>
    </r>
  </si>
  <si>
    <r>
      <t xml:space="preserve">
</t>
    </r>
    <r>
      <rPr>
        <sz val="10"/>
        <color rgb="FF000000"/>
        <rFont val="Calibri"/>
        <family val="2"/>
      </rPr>
      <t>(In the event the Insured person sustains an accidental injury resulting in Hospitalisation or Temporary or Permanent Disability, and is medically advised rest or restricted mobility, a fixed benefit shall be payable towards engaging domestic help for household support, childcare support, subject to the terms and conditions of the Policy)</t>
    </r>
  </si>
  <si>
    <t xml:space="preserve">Sr. No. </t>
  </si>
  <si>
    <t>Critical Illness</t>
  </si>
  <si>
    <t>9 CI</t>
  </si>
  <si>
    <t>18 CI</t>
  </si>
  <si>
    <t>25 CI</t>
  </si>
  <si>
    <t>41 CI</t>
  </si>
  <si>
    <t>Yes</t>
  </si>
  <si>
    <t xml:space="preserve">Scor </t>
  </si>
  <si>
    <t>Stroke resulting in Permanent Symptoms</t>
  </si>
  <si>
    <t>Aorta Graft Surgery</t>
  </si>
  <si>
    <t>Systemic Lupus Erythematosis with Lupus Nephritis;</t>
  </si>
  <si>
    <t>Progressive Supranuclear Palsy</t>
  </si>
  <si>
    <t>Pulmonary Artery Graft Surgery</t>
  </si>
  <si>
    <t>Other Serious Coronary Artery Disease</t>
  </si>
  <si>
    <t>Creutzfeldt - Jakob Disease</t>
  </si>
  <si>
    <t>Found</t>
  </si>
  <si>
    <t>.</t>
  </si>
  <si>
    <r>
      <rPr>
        <strike/>
        <sz val="10"/>
        <color theme="1"/>
        <rFont val="Calibri"/>
        <family val="2"/>
      </rPr>
      <t>Marriage cover for Dependent Children</t>
    </r>
    <r>
      <rPr>
        <sz val="10"/>
        <color theme="1"/>
        <rFont val="Calibri"/>
        <family val="2"/>
      </rPr>
      <t xml:space="preserve"> </t>
    </r>
    <r>
      <rPr>
        <sz val="10"/>
        <color rgb="FFFF0000"/>
        <rFont val="Calibri"/>
        <family val="2"/>
      </rPr>
      <t>Marriage Allowance</t>
    </r>
  </si>
  <si>
    <t>Name Change of the cover</t>
  </si>
  <si>
    <t>Name Modification from Broken Bones/ Fractures cover to Broken Bones cover only</t>
  </si>
  <si>
    <t>Name Change</t>
  </si>
  <si>
    <r>
      <rPr>
        <strike/>
        <sz val="10"/>
        <rFont val="Calibri"/>
        <family val="2"/>
      </rPr>
      <t>Convalescence cover</t>
    </r>
    <r>
      <rPr>
        <sz val="10"/>
        <color rgb="FFFF0000"/>
        <rFont val="Calibri"/>
        <family val="2"/>
      </rPr>
      <t xml:space="preserve"> Long Stay Allowance</t>
    </r>
  </si>
  <si>
    <r>
      <rPr>
        <strike/>
        <sz val="10"/>
        <rFont val="Calibri"/>
        <family val="2"/>
      </rPr>
      <t>Dependent Parent cover</t>
    </r>
    <r>
      <rPr>
        <sz val="10"/>
        <color rgb="FFFF0000"/>
        <rFont val="Calibri"/>
        <family val="2"/>
      </rPr>
      <t xml:space="preserve"> Elderly Care</t>
    </r>
  </si>
  <si>
    <t>Cover suppression, Covered under rehabilitation</t>
  </si>
  <si>
    <r>
      <t>Critical Illness Group
Plan1. Plan 2, Plan 3,Plan 4 and Plan 5</t>
    </r>
    <r>
      <rPr>
        <sz val="10"/>
        <color rgb="FF00B050"/>
        <rFont val="Calibri"/>
        <family val="2"/>
      </rPr>
      <t xml:space="preserve"> </t>
    </r>
    <r>
      <rPr>
        <sz val="10"/>
        <color rgb="FFFF0000"/>
        <rFont val="Calibri"/>
        <family val="2"/>
      </rPr>
      <t>Plan 6 and Plan 7</t>
    </r>
  </si>
  <si>
    <t xml:space="preserve">Plan 6 &amp; 7 is the new addition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</si>
</sst>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 #,##0.00_ ;_ * \-#,##0.00_ ;_ * &quot;-&quot;??_ ;_ @_ "/>
  </numFmts>
  <fonts count="34" x14ac:knownFonts="1">
    <font>
      <sz val="11"/>
      <color theme="1"/>
      <name val="Aptos Narrow"/>
      <family val="2"/>
      <scheme val="minor"/>
    </font>
    <font>
      <sz val="10"/>
      <color theme="1"/>
      <name val="Calibri"/>
      <family val="2"/>
    </font>
    <font>
      <b/>
      <sz val="10"/>
      <color rgb="FF000000"/>
      <name val="Calibri"/>
      <family val="2"/>
    </font>
    <font>
      <b/>
      <sz val="10"/>
      <color theme="1"/>
      <name val="Calibri"/>
      <family val="2"/>
    </font>
    <font>
      <sz val="10"/>
      <color rgb="FF000000"/>
      <name val="Calibri"/>
      <family val="2"/>
    </font>
    <font>
      <sz val="10"/>
      <color theme="1"/>
      <name val="Segoe UI"/>
      <family val="2"/>
    </font>
    <font>
      <sz val="10"/>
      <color rgb="FF030000"/>
      <name val="Calibri"/>
      <family val="2"/>
    </font>
    <font>
      <sz val="10"/>
      <name val="Calibri"/>
      <family val="2"/>
    </font>
    <font>
      <sz val="10"/>
      <color rgb="FFFF0000"/>
      <name val="Calibri"/>
      <family val="2"/>
    </font>
    <font>
      <sz val="10"/>
      <color rgb="FF231F20"/>
      <name val="Calibri"/>
      <family val="2"/>
    </font>
    <font>
      <sz val="10"/>
      <name val="Aptos Narrow"/>
      <family val="2"/>
      <scheme val="minor"/>
    </font>
    <font>
      <sz val="10"/>
      <color theme="1"/>
      <name val="Aptos Narrow"/>
      <family val="2"/>
      <scheme val="minor"/>
    </font>
    <font>
      <b/>
      <sz val="10"/>
      <name val="Calibri"/>
      <family val="2"/>
    </font>
    <font>
      <sz val="11"/>
      <color theme="1"/>
      <name val="Aptos Narrow"/>
      <family val="2"/>
      <scheme val="minor"/>
    </font>
    <font>
      <strike/>
      <sz val="10"/>
      <color theme="1"/>
      <name val="Calibri"/>
      <family val="2"/>
    </font>
    <font>
      <strike/>
      <sz val="10"/>
      <color rgb="FF231F20"/>
      <name val="Calibri"/>
      <family val="2"/>
    </font>
    <font>
      <strike/>
      <sz val="10"/>
      <name val="Calibri"/>
      <family val="2"/>
    </font>
    <font>
      <strike/>
      <sz val="10"/>
      <color rgb="FF000000"/>
      <name val="Calibri"/>
      <family val="2"/>
    </font>
    <font>
      <sz val="10"/>
      <color theme="1" tint="4.9989318521683403E-2"/>
      <name val="Calibri"/>
      <family val="2"/>
    </font>
    <font>
      <b/>
      <sz val="14"/>
      <color rgb="FFFFFFFF"/>
      <name val="Calibri"/>
      <family val="2"/>
    </font>
    <font>
      <i/>
      <sz val="10"/>
      <color rgb="FF000000"/>
      <name val="Calibri"/>
      <family val="2"/>
    </font>
    <font>
      <sz val="10"/>
      <color rgb="FF00B050"/>
      <name val="Calibri"/>
      <family val="2"/>
    </font>
    <font>
      <b/>
      <sz val="11"/>
      <color rgb="FFFFFFFF"/>
      <name val="Calibri"/>
      <family val="2"/>
    </font>
    <font>
      <sz val="11"/>
      <color theme="1"/>
      <name val="Calibri"/>
      <family val="2"/>
    </font>
    <font>
      <sz val="11"/>
      <color rgb="FF000000"/>
      <name val="Calibri"/>
      <family val="2"/>
    </font>
    <font>
      <b/>
      <strike/>
      <sz val="10"/>
      <color rgb="FFFF0000"/>
      <name val="Calibri"/>
      <family val="2"/>
    </font>
    <font>
      <b/>
      <strike/>
      <sz val="10"/>
      <color rgb="FF000000"/>
      <name val="Calibri"/>
      <family val="2"/>
    </font>
    <font>
      <strike/>
      <sz val="10"/>
      <color rgb="FF242424"/>
      <name val="Calibri"/>
      <family val="2"/>
    </font>
    <font>
      <b/>
      <sz val="10"/>
      <color theme="1"/>
      <name val="Aptos Narrow"/>
      <family val="2"/>
      <scheme val="minor"/>
    </font>
    <font>
      <b/>
      <sz val="11"/>
      <color theme="1"/>
      <name val="Aptos Narrow"/>
      <family val="2"/>
      <scheme val="minor"/>
    </font>
    <font>
      <strike/>
      <sz val="10"/>
      <color rgb="FFFF0000"/>
      <name val="Calibri"/>
      <family val="2"/>
    </font>
    <font>
      <sz val="11"/>
      <name val="Aptos Narrow"/>
      <family val="2"/>
      <scheme val="minor"/>
    </font>
    <font>
      <b/>
      <sz val="10"/>
      <color rgb="FF231F20"/>
      <name val="Calibri"/>
      <family val="2"/>
    </font>
    <font>
      <strike/>
      <sz val="10"/>
      <color rgb="FFFF0000"/>
      <name val="Aptos Narrow"/>
      <family val="2"/>
      <scheme val="minor"/>
    </font>
  </fonts>
  <fills count="14">
    <fill>
      <patternFill patternType="none"/>
    </fill>
    <fill>
      <patternFill patternType="gray125"/>
    </fill>
    <fill>
      <patternFill patternType="solid">
        <fgColor rgb="FFFFFF00"/>
        <bgColor indexed="64"/>
      </patternFill>
    </fill>
    <fill>
      <patternFill patternType="solid">
        <fgColor rgb="FFFFF6CE"/>
        <bgColor indexed="64"/>
      </patternFill>
    </fill>
    <fill>
      <patternFill patternType="solid">
        <fgColor rgb="FFDAE9F8"/>
        <bgColor rgb="FF000000"/>
      </patternFill>
    </fill>
    <fill>
      <patternFill patternType="solid">
        <fgColor theme="0"/>
        <bgColor indexed="64"/>
      </patternFill>
    </fill>
    <fill>
      <patternFill patternType="solid">
        <fgColor theme="3" tint="0.89999084444715716"/>
        <bgColor indexed="64"/>
      </patternFill>
    </fill>
    <fill>
      <patternFill patternType="solid">
        <fgColor rgb="FF1F4E79"/>
        <bgColor indexed="64"/>
      </patternFill>
    </fill>
    <fill>
      <patternFill patternType="solid">
        <fgColor rgb="FFD6DCE4"/>
        <bgColor indexed="64"/>
      </patternFill>
    </fill>
    <fill>
      <patternFill patternType="solid">
        <fgColor rgb="FFFFF2CC"/>
        <bgColor indexed="64"/>
      </patternFill>
    </fill>
    <fill>
      <patternFill patternType="solid">
        <fgColor rgb="FFFFFFFF"/>
        <bgColor indexed="64"/>
      </patternFill>
    </fill>
    <fill>
      <patternFill patternType="solid">
        <fgColor theme="5" tint="0.59999389629810485"/>
        <bgColor indexed="64"/>
      </patternFill>
    </fill>
    <fill>
      <patternFill patternType="solid">
        <fgColor theme="5" tint="0.79998168889431442"/>
        <bgColor indexed="64"/>
      </patternFill>
    </fill>
    <fill>
      <patternFill patternType="solid">
        <fgColor theme="7" tint="0.79998168889431442"/>
        <bgColor indexed="64"/>
      </patternFill>
    </fill>
  </fills>
  <borders count="29">
    <border>
      <left/>
      <right/>
      <top/>
      <bottom/>
      <diagonal/>
    </border>
    <border>
      <left style="thin">
        <color indexed="64"/>
      </left>
      <right style="thin">
        <color indexed="64"/>
      </right>
      <top style="thin">
        <color indexed="64"/>
      </top>
      <bottom style="thin">
        <color indexed="64"/>
      </bottom>
      <diagonal/>
    </border>
    <border>
      <left/>
      <right/>
      <top style="thin">
        <color rgb="FFD1D3D4"/>
      </top>
      <bottom style="thin">
        <color rgb="FFD1D3D4"/>
      </bottom>
      <diagonal/>
    </border>
    <border>
      <left/>
      <right style="thin">
        <color rgb="FFD1D3D4"/>
      </right>
      <top style="thin">
        <color rgb="FFD1D3D4"/>
      </top>
      <bottom style="thin">
        <color rgb="FFD1D3D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rgb="FF808080"/>
      </left>
      <right style="thin">
        <color rgb="FF808080"/>
      </right>
      <top style="thin">
        <color rgb="FF808080"/>
      </top>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thin">
        <color rgb="FFBFBFBF"/>
      </top>
      <bottom/>
      <diagonal/>
    </border>
    <border>
      <left style="thin">
        <color rgb="FFBFBFBF"/>
      </left>
      <right style="thin">
        <color rgb="FFBFBFBF"/>
      </right>
      <top/>
      <bottom/>
      <diagonal/>
    </border>
    <border>
      <left style="thin">
        <color rgb="FFBFBFBF"/>
      </left>
      <right style="thin">
        <color rgb="FFBFBFBF"/>
      </right>
      <top/>
      <bottom style="thin">
        <color rgb="FFBFBFBF"/>
      </bottom>
      <diagonal/>
    </border>
    <border>
      <left style="thin">
        <color rgb="FF808080"/>
      </left>
      <right style="thin">
        <color rgb="FF808080"/>
      </right>
      <top/>
      <bottom/>
      <diagonal/>
    </border>
    <border>
      <left style="thin">
        <color rgb="FF808080"/>
      </left>
      <right style="thin">
        <color rgb="FF808080"/>
      </right>
      <top style="thin">
        <color rgb="FFBFBFBF"/>
      </top>
      <bottom style="thin">
        <color rgb="FFBFBFBF"/>
      </bottom>
      <diagonal/>
    </border>
    <border>
      <left style="thin">
        <color rgb="FF808080"/>
      </left>
      <right style="thin">
        <color rgb="FF808080"/>
      </right>
      <top/>
      <bottom style="thin">
        <color rgb="FF808080"/>
      </bottom>
      <diagonal/>
    </border>
    <border>
      <left/>
      <right/>
      <top/>
      <bottom style="thin">
        <color indexed="64"/>
      </bottom>
      <diagonal/>
    </border>
    <border>
      <left/>
      <right style="thin">
        <color indexed="64"/>
      </right>
      <top/>
      <bottom style="thin">
        <color indexed="64"/>
      </bottom>
      <diagonal/>
    </border>
    <border>
      <left style="thin">
        <color indexed="64"/>
      </left>
      <right style="thin">
        <color rgb="FFBFBFBF"/>
      </right>
      <top style="thin">
        <color indexed="64"/>
      </top>
      <bottom style="thin">
        <color rgb="FFBFBFBF"/>
      </bottom>
      <diagonal/>
    </border>
    <border>
      <left style="thin">
        <color rgb="FFBFBFBF"/>
      </left>
      <right style="thin">
        <color rgb="FFBFBFBF"/>
      </right>
      <top style="thin">
        <color indexed="64"/>
      </top>
      <bottom style="thin">
        <color rgb="FFBFBFBF"/>
      </bottom>
      <diagonal/>
    </border>
    <border>
      <left style="thin">
        <color rgb="FFBFBFBF"/>
      </left>
      <right style="thin">
        <color indexed="64"/>
      </right>
      <top style="thin">
        <color indexed="64"/>
      </top>
      <bottom style="thin">
        <color rgb="FFBFBFBF"/>
      </bottom>
      <diagonal/>
    </border>
    <border>
      <left style="thin">
        <color indexed="64"/>
      </left>
      <right/>
      <top/>
      <bottom/>
      <diagonal/>
    </border>
    <border>
      <left style="thin">
        <color rgb="FFBFBFBF"/>
      </left>
      <right style="thin">
        <color indexed="64"/>
      </right>
      <top style="thin">
        <color rgb="FFBFBFBF"/>
      </top>
      <bottom style="thin">
        <color rgb="FFBFBFBF"/>
      </bottom>
      <diagonal/>
    </border>
    <border>
      <left style="thin">
        <color indexed="64"/>
      </left>
      <right/>
      <top/>
      <bottom style="thin">
        <color indexed="64"/>
      </bottom>
      <diagonal/>
    </border>
    <border>
      <left/>
      <right style="thin">
        <color rgb="FF808080"/>
      </right>
      <top style="thin">
        <color rgb="FF808080"/>
      </top>
      <bottom style="thin">
        <color indexed="64"/>
      </bottom>
      <diagonal/>
    </border>
    <border>
      <left style="thin">
        <color rgb="FFBFBFBF"/>
      </left>
      <right style="thin">
        <color rgb="FFBFBFBF"/>
      </right>
      <top style="thin">
        <color rgb="FFBFBFBF"/>
      </top>
      <bottom style="thin">
        <color indexed="64"/>
      </bottom>
      <diagonal/>
    </border>
    <border>
      <left style="thin">
        <color rgb="FFBFBFBF"/>
      </left>
      <right style="thin">
        <color indexed="64"/>
      </right>
      <top style="thin">
        <color rgb="FFBFBFBF"/>
      </top>
      <bottom style="thin">
        <color indexed="64"/>
      </bottom>
      <diagonal/>
    </border>
  </borders>
  <cellStyleXfs count="2">
    <xf numFmtId="0" fontId="0" fillId="0" borderId="0"/>
    <xf numFmtId="43" fontId="13" fillId="0" borderId="0" applyFont="0" applyFill="0" applyBorder="0" applyAlignment="0" applyProtection="0"/>
  </cellStyleXfs>
  <cellXfs count="181">
    <xf numFmtId="0" fontId="0" fillId="0" borderId="0" xfId="0"/>
    <xf numFmtId="0" fontId="1" fillId="0" borderId="0" xfId="0" applyFont="1"/>
    <xf numFmtId="0" fontId="2" fillId="3" borderId="1" xfId="0" applyFont="1" applyFill="1" applyBorder="1" applyAlignment="1">
      <alignment vertical="center" wrapText="1"/>
    </xf>
    <xf numFmtId="0" fontId="3" fillId="0" borderId="1" xfId="0" applyFont="1" applyBorder="1" applyAlignment="1">
      <alignment vertical="center" wrapText="1"/>
    </xf>
    <xf numFmtId="0" fontId="1" fillId="0" borderId="1" xfId="0" applyFont="1" applyBorder="1" applyAlignment="1">
      <alignment vertical="center" wrapText="1"/>
    </xf>
    <xf numFmtId="9" fontId="1" fillId="0" borderId="1" xfId="0" applyNumberFormat="1" applyFont="1" applyBorder="1" applyAlignment="1">
      <alignment vertical="center" wrapText="1"/>
    </xf>
    <xf numFmtId="0" fontId="1" fillId="0" borderId="1" xfId="0" applyFont="1" applyBorder="1"/>
    <xf numFmtId="0" fontId="1" fillId="0" borderId="1" xfId="0" applyFont="1" applyBorder="1" applyAlignment="1">
      <alignment horizontal="left" vertical="center"/>
    </xf>
    <xf numFmtId="0" fontId="1" fillId="0" borderId="1" xfId="0" applyFont="1" applyBorder="1" applyAlignment="1">
      <alignment horizontal="left" vertical="center" wrapText="1"/>
    </xf>
    <xf numFmtId="0" fontId="1" fillId="0" borderId="0" xfId="0" applyFont="1" applyAlignment="1">
      <alignment wrapText="1"/>
    </xf>
    <xf numFmtId="0" fontId="7" fillId="0" borderId="1" xfId="0" applyFont="1" applyBorder="1" applyAlignment="1">
      <alignment horizontal="center" vertical="center" wrapText="1"/>
    </xf>
    <xf numFmtId="0" fontId="1" fillId="0" borderId="0" xfId="0" applyFont="1" applyAlignment="1">
      <alignment horizontal="center" vertical="center"/>
    </xf>
    <xf numFmtId="0" fontId="1" fillId="2" borderId="1" xfId="0" applyFont="1" applyFill="1" applyBorder="1" applyAlignment="1">
      <alignment horizontal="center" vertical="center"/>
    </xf>
    <xf numFmtId="0" fontId="1" fillId="2" borderId="1" xfId="0" applyFont="1" applyFill="1" applyBorder="1" applyAlignment="1">
      <alignment horizontal="center" vertical="center" wrapText="1"/>
    </xf>
    <xf numFmtId="0" fontId="1" fillId="2" borderId="5" xfId="0" applyFont="1" applyFill="1" applyBorder="1" applyAlignment="1">
      <alignment horizontal="center" vertical="center"/>
    </xf>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1" fillId="5" borderId="1" xfId="0" applyFont="1" applyFill="1" applyBorder="1" applyAlignment="1">
      <alignment horizontal="center" vertical="center" wrapText="1"/>
    </xf>
    <xf numFmtId="0" fontId="1" fillId="0" borderId="0" xfId="0" applyFont="1" applyAlignment="1">
      <alignment horizontal="center" vertical="center" wrapText="1"/>
    </xf>
    <xf numFmtId="0" fontId="4" fillId="0" borderId="2" xfId="0" applyFont="1" applyBorder="1" applyAlignment="1">
      <alignment horizontal="center" vertical="center" wrapText="1"/>
    </xf>
    <xf numFmtId="0" fontId="1" fillId="2" borderId="6" xfId="0" applyFont="1" applyFill="1" applyBorder="1" applyAlignment="1">
      <alignment horizontal="center" vertical="center"/>
    </xf>
    <xf numFmtId="0" fontId="1" fillId="5" borderId="5" xfId="0" applyFont="1" applyFill="1" applyBorder="1" applyAlignment="1">
      <alignment horizontal="center" vertical="center"/>
    </xf>
    <xf numFmtId="0" fontId="1" fillId="5" borderId="4" xfId="0" applyFont="1" applyFill="1" applyBorder="1" applyAlignment="1">
      <alignment horizontal="center" vertical="center"/>
    </xf>
    <xf numFmtId="0" fontId="1" fillId="5" borderId="0" xfId="0" applyFont="1" applyFill="1" applyAlignment="1">
      <alignment horizontal="center" vertical="center"/>
    </xf>
    <xf numFmtId="0" fontId="4" fillId="0" borderId="1" xfId="0" applyFont="1" applyBorder="1" applyAlignment="1">
      <alignment horizontal="center" vertical="center" wrapText="1"/>
    </xf>
    <xf numFmtId="0" fontId="9" fillId="0" borderId="1" xfId="0" applyFont="1" applyBorder="1" applyAlignment="1">
      <alignment horizontal="center" vertical="center" wrapText="1"/>
    </xf>
    <xf numFmtId="0" fontId="4" fillId="0" borderId="3" xfId="0" applyFont="1" applyBorder="1" applyAlignment="1">
      <alignment horizontal="center" vertical="center" wrapText="1"/>
    </xf>
    <xf numFmtId="0" fontId="9" fillId="0" borderId="1" xfId="0" applyFont="1" applyBorder="1" applyAlignment="1">
      <alignment horizontal="center" vertical="center"/>
    </xf>
    <xf numFmtId="0" fontId="7" fillId="0" borderId="2" xfId="0" applyFont="1" applyBorder="1" applyAlignment="1">
      <alignment horizontal="center" vertical="center" wrapText="1"/>
    </xf>
    <xf numFmtId="0" fontId="7" fillId="0" borderId="3" xfId="0" applyFont="1" applyBorder="1" applyAlignment="1">
      <alignment horizontal="center" vertical="center" wrapText="1"/>
    </xf>
    <xf numFmtId="0" fontId="4" fillId="0" borderId="0" xfId="0" applyFont="1" applyAlignment="1">
      <alignment horizontal="center" vertical="center" wrapText="1"/>
    </xf>
    <xf numFmtId="0" fontId="7" fillId="0" borderId="0" xfId="0" applyFont="1" applyAlignment="1">
      <alignment horizontal="center" vertical="center" wrapText="1"/>
    </xf>
    <xf numFmtId="0" fontId="11" fillId="0" borderId="1" xfId="0" applyFont="1" applyBorder="1" applyAlignment="1">
      <alignment horizontal="center" vertical="center"/>
    </xf>
    <xf numFmtId="0" fontId="3" fillId="2" borderId="1" xfId="0" applyFont="1" applyFill="1" applyBorder="1" applyAlignment="1">
      <alignment horizontal="center" vertical="center"/>
    </xf>
    <xf numFmtId="0" fontId="10"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1" fillId="0" borderId="0" xfId="0" applyFont="1" applyAlignment="1">
      <alignment horizontal="center" vertical="center" wrapText="1"/>
    </xf>
    <xf numFmtId="0" fontId="3" fillId="2" borderId="4" xfId="0" applyFont="1" applyFill="1" applyBorder="1" applyAlignment="1">
      <alignment horizontal="center" vertical="center"/>
    </xf>
    <xf numFmtId="0" fontId="7" fillId="5" borderId="1" xfId="0" applyFont="1" applyFill="1" applyBorder="1" applyAlignment="1">
      <alignment horizontal="center" vertical="center" wrapText="1"/>
    </xf>
    <xf numFmtId="0" fontId="11" fillId="5" borderId="1" xfId="0" applyFont="1" applyFill="1" applyBorder="1" applyAlignment="1">
      <alignment horizontal="center" vertical="center"/>
    </xf>
    <xf numFmtId="0" fontId="1" fillId="2" borderId="0" xfId="0" applyFont="1" applyFill="1" applyAlignment="1">
      <alignment horizontal="center" vertical="center" wrapText="1"/>
    </xf>
    <xf numFmtId="0" fontId="1" fillId="0" borderId="1" xfId="1" applyNumberFormat="1" applyFont="1" applyBorder="1" applyAlignment="1">
      <alignment horizontal="center" vertical="center" wrapText="1"/>
    </xf>
    <xf numFmtId="1" fontId="1" fillId="2" borderId="1" xfId="1" applyNumberFormat="1" applyFont="1" applyFill="1" applyBorder="1" applyAlignment="1">
      <alignment horizontal="center" vertical="center"/>
    </xf>
    <xf numFmtId="1" fontId="1" fillId="0" borderId="1" xfId="1" applyNumberFormat="1" applyFont="1" applyBorder="1" applyAlignment="1">
      <alignment horizontal="center" vertical="center" wrapText="1"/>
    </xf>
    <xf numFmtId="1" fontId="1" fillId="2" borderId="5" xfId="1" applyNumberFormat="1" applyFont="1" applyFill="1" applyBorder="1" applyAlignment="1">
      <alignment horizontal="center" vertical="center"/>
    </xf>
    <xf numFmtId="1" fontId="4" fillId="0" borderId="1" xfId="1" applyNumberFormat="1" applyFont="1" applyBorder="1" applyAlignment="1">
      <alignment horizontal="center" vertical="center" wrapText="1"/>
    </xf>
    <xf numFmtId="1" fontId="9" fillId="0" borderId="1" xfId="1" applyNumberFormat="1" applyFont="1" applyBorder="1" applyAlignment="1">
      <alignment horizontal="center" vertical="center" wrapText="1"/>
    </xf>
    <xf numFmtId="1" fontId="7" fillId="0" borderId="1" xfId="1" applyNumberFormat="1" applyFont="1" applyBorder="1" applyAlignment="1">
      <alignment horizontal="center" vertical="center" wrapText="1"/>
    </xf>
    <xf numFmtId="1" fontId="1" fillId="0" borderId="0" xfId="1" applyNumberFormat="1" applyFont="1" applyAlignment="1">
      <alignment horizontal="center" vertical="center"/>
    </xf>
    <xf numFmtId="0" fontId="11" fillId="0" borderId="0" xfId="0" applyFont="1"/>
    <xf numFmtId="0" fontId="1" fillId="0" borderId="1" xfId="0" applyFont="1" applyBorder="1" applyAlignment="1">
      <alignment horizontal="left"/>
    </xf>
    <xf numFmtId="0" fontId="1" fillId="0" borderId="1" xfId="0" applyFont="1" applyBorder="1" applyAlignment="1">
      <alignment horizontal="left" wrapText="1"/>
    </xf>
    <xf numFmtId="0" fontId="1" fillId="2" borderId="1" xfId="0" applyFont="1" applyFill="1" applyBorder="1" applyAlignment="1">
      <alignment horizontal="left"/>
    </xf>
    <xf numFmtId="0" fontId="1" fillId="2" borderId="1" xfId="0" applyFont="1" applyFill="1" applyBorder="1" applyAlignment="1">
      <alignment horizontal="left" wrapText="1"/>
    </xf>
    <xf numFmtId="0" fontId="8" fillId="0" borderId="1" xfId="0" applyFont="1" applyBorder="1"/>
    <xf numFmtId="0" fontId="15" fillId="0" borderId="1" xfId="0" applyFont="1" applyBorder="1" applyAlignment="1">
      <alignment horizontal="center" vertical="center" wrapText="1"/>
    </xf>
    <xf numFmtId="0" fontId="3" fillId="2" borderId="5" xfId="0" applyFont="1" applyFill="1" applyBorder="1" applyAlignment="1">
      <alignment horizontal="center" vertical="center"/>
    </xf>
    <xf numFmtId="0" fontId="3" fillId="0" borderId="1" xfId="0" applyFont="1" applyBorder="1" applyAlignment="1">
      <alignment horizontal="center" vertical="center" wrapText="1"/>
    </xf>
    <xf numFmtId="0" fontId="3" fillId="0" borderId="1" xfId="0" applyFont="1" applyBorder="1" applyAlignment="1">
      <alignment horizontal="center" vertical="center"/>
    </xf>
    <xf numFmtId="1" fontId="3" fillId="0" borderId="1" xfId="1" applyNumberFormat="1" applyFont="1" applyBorder="1" applyAlignment="1">
      <alignment horizontal="center" vertical="center"/>
    </xf>
    <xf numFmtId="1" fontId="1" fillId="0" borderId="1" xfId="1" applyNumberFormat="1" applyFont="1" applyFill="1" applyBorder="1" applyAlignment="1">
      <alignment horizontal="center" vertical="center" wrapText="1"/>
    </xf>
    <xf numFmtId="0" fontId="2" fillId="8" borderId="11" xfId="0" applyFont="1" applyFill="1" applyBorder="1" applyAlignment="1">
      <alignment horizontal="center" vertical="center" wrapText="1"/>
    </xf>
    <xf numFmtId="0" fontId="2" fillId="8" borderId="11" xfId="0" applyFont="1" applyFill="1" applyBorder="1" applyAlignment="1">
      <alignment horizontal="left" vertical="center" wrapText="1"/>
    </xf>
    <xf numFmtId="0" fontId="4" fillId="0" borderId="11" xfId="0" applyFont="1" applyBorder="1" applyAlignment="1">
      <alignment horizontal="center" vertical="center" wrapText="1"/>
    </xf>
    <xf numFmtId="0" fontId="4" fillId="0" borderId="11" xfId="0" applyFont="1" applyBorder="1" applyAlignment="1">
      <alignment horizontal="left" vertical="center" wrapText="1"/>
    </xf>
    <xf numFmtId="9" fontId="4" fillId="0" borderId="11" xfId="0" applyNumberFormat="1" applyFont="1" applyBorder="1" applyAlignment="1">
      <alignment horizontal="center" vertical="center" wrapText="1"/>
    </xf>
    <xf numFmtId="0" fontId="2" fillId="8" borderId="16" xfId="0" applyFont="1" applyFill="1" applyBorder="1" applyAlignment="1">
      <alignment horizontal="center" vertical="center" wrapText="1"/>
    </xf>
    <xf numFmtId="0" fontId="2" fillId="8" borderId="16" xfId="0" applyFont="1" applyFill="1" applyBorder="1" applyAlignment="1">
      <alignment horizontal="left" vertical="center" wrapText="1"/>
    </xf>
    <xf numFmtId="0" fontId="3" fillId="6" borderId="15" xfId="0" applyFont="1" applyFill="1" applyBorder="1" applyAlignment="1">
      <alignment horizontal="center" vertical="center"/>
    </xf>
    <xf numFmtId="0" fontId="3" fillId="6" borderId="15" xfId="0" applyFont="1" applyFill="1" applyBorder="1" applyAlignment="1">
      <alignment horizontal="left" vertical="center"/>
    </xf>
    <xf numFmtId="0" fontId="1" fillId="10" borderId="15" xfId="0" applyFont="1" applyFill="1" applyBorder="1" applyAlignment="1">
      <alignment horizontal="center" vertical="center"/>
    </xf>
    <xf numFmtId="0" fontId="1" fillId="10" borderId="15" xfId="0" applyFont="1" applyFill="1" applyBorder="1" applyAlignment="1">
      <alignment horizontal="left" vertical="center"/>
    </xf>
    <xf numFmtId="9" fontId="1" fillId="10" borderId="15" xfId="0" applyNumberFormat="1" applyFont="1" applyFill="1" applyBorder="1" applyAlignment="1">
      <alignment horizontal="center" vertical="center"/>
    </xf>
    <xf numFmtId="0" fontId="1" fillId="6" borderId="15" xfId="0" applyFont="1" applyFill="1" applyBorder="1" applyAlignment="1">
      <alignment horizontal="center" vertical="center"/>
    </xf>
    <xf numFmtId="9" fontId="3" fillId="6" borderId="15" xfId="0" applyNumberFormat="1" applyFont="1" applyFill="1" applyBorder="1" applyAlignment="1">
      <alignment horizontal="center" vertical="center"/>
    </xf>
    <xf numFmtId="0" fontId="1" fillId="10" borderId="17" xfId="0" applyFont="1" applyFill="1" applyBorder="1" applyAlignment="1">
      <alignment horizontal="center" vertical="center"/>
    </xf>
    <xf numFmtId="0" fontId="1" fillId="10" borderId="17" xfId="0" applyFont="1" applyFill="1" applyBorder="1" applyAlignment="1">
      <alignment horizontal="left" vertical="center"/>
    </xf>
    <xf numFmtId="9" fontId="1" fillId="10" borderId="17" xfId="0" applyNumberFormat="1" applyFont="1" applyFill="1" applyBorder="1" applyAlignment="1">
      <alignment horizontal="center" vertical="center"/>
    </xf>
    <xf numFmtId="0" fontId="14" fillId="0" borderId="0" xfId="0" applyFont="1"/>
    <xf numFmtId="3" fontId="17" fillId="0" borderId="1" xfId="0" applyNumberFormat="1" applyFont="1" applyBorder="1" applyAlignment="1">
      <alignment horizontal="center" vertical="center" wrapText="1"/>
    </xf>
    <xf numFmtId="1" fontId="4" fillId="0" borderId="1" xfId="1" applyNumberFormat="1" applyFont="1" applyFill="1" applyBorder="1" applyAlignment="1">
      <alignment horizontal="center" vertical="center" wrapText="1"/>
    </xf>
    <xf numFmtId="3" fontId="4" fillId="0" borderId="1" xfId="0" applyNumberFormat="1" applyFont="1" applyBorder="1" applyAlignment="1">
      <alignment horizontal="center" vertical="center" wrapText="1"/>
    </xf>
    <xf numFmtId="0" fontId="2" fillId="0" borderId="11" xfId="0" applyFont="1" applyBorder="1" applyAlignment="1">
      <alignment horizontal="left" vertical="center" wrapText="1"/>
    </xf>
    <xf numFmtId="0" fontId="2" fillId="0" borderId="12" xfId="0" applyFont="1" applyBorder="1" applyAlignment="1">
      <alignment horizontal="left" vertical="center" wrapText="1"/>
    </xf>
    <xf numFmtId="0" fontId="1" fillId="0" borderId="7" xfId="0" applyFont="1" applyBorder="1" applyAlignment="1">
      <alignment horizontal="center" vertical="center"/>
    </xf>
    <xf numFmtId="1" fontId="4" fillId="0" borderId="7" xfId="1" applyNumberFormat="1" applyFont="1" applyFill="1" applyBorder="1" applyAlignment="1">
      <alignment horizontal="center" vertical="center" wrapText="1"/>
    </xf>
    <xf numFmtId="0" fontId="2" fillId="0" borderId="1" xfId="0" applyFont="1" applyBorder="1" applyAlignment="1">
      <alignment horizontal="left" vertical="center" wrapText="1"/>
    </xf>
    <xf numFmtId="0" fontId="22" fillId="7" borderId="21" xfId="0" applyFont="1" applyFill="1" applyBorder="1" applyAlignment="1">
      <alignment horizontal="left" vertical="center" wrapText="1"/>
    </xf>
    <xf numFmtId="0" fontId="22" fillId="7" borderId="22" xfId="0" applyFont="1" applyFill="1" applyBorder="1" applyAlignment="1">
      <alignment horizontal="left" vertical="center" wrapText="1"/>
    </xf>
    <xf numFmtId="0" fontId="22" fillId="7" borderId="1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4" fillId="0" borderId="11" xfId="0" applyFont="1" applyBorder="1" applyAlignment="1">
      <alignment horizontal="left" vertical="center" wrapText="1"/>
    </xf>
    <xf numFmtId="0" fontId="24" fillId="0" borderId="24" xfId="0" applyFont="1" applyBorder="1" applyAlignment="1">
      <alignment horizontal="left" vertical="center" wrapText="1"/>
    </xf>
    <xf numFmtId="0" fontId="24" fillId="11" borderId="24" xfId="0" applyFont="1" applyFill="1" applyBorder="1" applyAlignment="1">
      <alignment horizontal="left" vertical="center" wrapText="1"/>
    </xf>
    <xf numFmtId="0" fontId="24" fillId="11" borderId="11" xfId="0" applyFont="1" applyFill="1" applyBorder="1" applyAlignment="1">
      <alignment horizontal="left" vertical="center" wrapText="1"/>
    </xf>
    <xf numFmtId="0" fontId="24" fillId="0" borderId="26" xfId="0" applyFont="1" applyBorder="1" applyAlignment="1">
      <alignment horizontal="left" vertical="center" wrapText="1"/>
    </xf>
    <xf numFmtId="0" fontId="24" fillId="11" borderId="27" xfId="0" applyFont="1" applyFill="1" applyBorder="1" applyAlignment="1">
      <alignment horizontal="left" vertical="center" wrapText="1"/>
    </xf>
    <xf numFmtId="0" fontId="24" fillId="0" borderId="28" xfId="0" applyFont="1" applyBorder="1" applyAlignment="1">
      <alignment horizontal="left" vertical="center" wrapText="1"/>
    </xf>
    <xf numFmtId="0" fontId="25" fillId="4" borderId="1" xfId="0" applyFont="1" applyFill="1" applyBorder="1" applyAlignment="1">
      <alignment horizontal="center"/>
    </xf>
    <xf numFmtId="0" fontId="26" fillId="0" borderId="1" xfId="0" applyFont="1" applyBorder="1" applyAlignment="1">
      <alignment vertical="center"/>
    </xf>
    <xf numFmtId="0" fontId="26" fillId="0" borderId="1" xfId="0" applyFont="1" applyBorder="1" applyAlignment="1">
      <alignment vertical="center" wrapText="1"/>
    </xf>
    <xf numFmtId="0" fontId="17" fillId="0" borderId="1" xfId="0" applyFont="1" applyBorder="1" applyAlignment="1">
      <alignment vertical="center"/>
    </xf>
    <xf numFmtId="0" fontId="17" fillId="0" borderId="1" xfId="0" applyFont="1" applyBorder="1" applyAlignment="1">
      <alignment horizontal="left" vertical="center" wrapText="1"/>
    </xf>
    <xf numFmtId="0" fontId="27" fillId="0" borderId="1" xfId="0" applyFont="1" applyBorder="1" applyAlignment="1">
      <alignment horizontal="left" vertical="center" wrapText="1"/>
    </xf>
    <xf numFmtId="0" fontId="17" fillId="0" borderId="1" xfId="0" applyFont="1" applyBorder="1"/>
    <xf numFmtId="0" fontId="28" fillId="2" borderId="0" xfId="0" applyFont="1" applyFill="1"/>
    <xf numFmtId="0" fontId="20" fillId="9" borderId="15" xfId="0" applyFont="1" applyFill="1" applyBorder="1" applyAlignment="1">
      <alignment horizontal="center" vertical="center" wrapText="1"/>
    </xf>
    <xf numFmtId="0" fontId="20" fillId="9" borderId="15" xfId="0" applyFont="1" applyFill="1" applyBorder="1" applyAlignment="1">
      <alignment horizontal="left" vertical="center" wrapText="1"/>
    </xf>
    <xf numFmtId="0" fontId="19" fillId="7" borderId="10" xfId="0" applyFont="1" applyFill="1" applyBorder="1" applyAlignment="1">
      <alignment horizontal="center" vertical="center" wrapText="1"/>
    </xf>
    <xf numFmtId="0" fontId="4" fillId="0" borderId="11" xfId="0" applyFont="1" applyBorder="1" applyAlignment="1">
      <alignment horizontal="center" vertical="center" wrapText="1"/>
    </xf>
    <xf numFmtId="0" fontId="19" fillId="7" borderId="10" xfId="0" applyFont="1" applyFill="1" applyBorder="1" applyAlignment="1">
      <alignment horizontal="left" vertical="center" wrapText="1"/>
    </xf>
    <xf numFmtId="0" fontId="4" fillId="0" borderId="12" xfId="0" applyFont="1" applyBorder="1" applyAlignment="1">
      <alignment horizontal="center" vertical="center" wrapText="1"/>
    </xf>
    <xf numFmtId="0" fontId="4" fillId="0" borderId="13" xfId="0" applyFont="1" applyBorder="1" applyAlignment="1">
      <alignment horizontal="center" vertical="center" wrapText="1"/>
    </xf>
    <xf numFmtId="0" fontId="4" fillId="0" borderId="14" xfId="0" applyFont="1" applyBorder="1" applyAlignment="1">
      <alignment horizontal="center" vertical="center" wrapText="1"/>
    </xf>
    <xf numFmtId="0" fontId="3" fillId="0" borderId="1" xfId="0" applyFont="1" applyBorder="1" applyAlignment="1">
      <alignment vertical="center" wrapText="1"/>
    </xf>
    <xf numFmtId="0" fontId="2" fillId="3" borderId="1" xfId="0" applyFont="1" applyFill="1" applyBorder="1" applyAlignment="1">
      <alignment horizontal="center" vertical="center" wrapText="1"/>
    </xf>
    <xf numFmtId="9" fontId="1" fillId="0" borderId="1" xfId="0" applyNumberFormat="1" applyFont="1" applyBorder="1" applyAlignment="1">
      <alignment vertical="center" wrapText="1"/>
    </xf>
    <xf numFmtId="0" fontId="3" fillId="0" borderId="1" xfId="0" applyFont="1" applyBorder="1" applyAlignment="1">
      <alignment horizontal="center" vertical="center" wrapText="1"/>
    </xf>
    <xf numFmtId="0" fontId="1" fillId="5" borderId="7" xfId="0" applyFont="1" applyFill="1" applyBorder="1" applyAlignment="1">
      <alignment horizontal="center" vertical="center" wrapText="1"/>
    </xf>
    <xf numFmtId="0" fontId="1" fillId="5" borderId="8" xfId="0" applyFont="1" applyFill="1" applyBorder="1" applyAlignment="1">
      <alignment horizontal="center" vertical="center" wrapText="1"/>
    </xf>
    <xf numFmtId="0" fontId="1" fillId="5" borderId="9" xfId="0" applyFont="1" applyFill="1" applyBorder="1" applyAlignment="1">
      <alignment horizontal="center" vertical="center" wrapText="1"/>
    </xf>
    <xf numFmtId="0" fontId="7" fillId="0" borderId="7" xfId="0" applyFont="1" applyBorder="1" applyAlignment="1">
      <alignment horizontal="center" vertical="center" wrapText="1"/>
    </xf>
    <xf numFmtId="0" fontId="7" fillId="0" borderId="8" xfId="0" applyFont="1" applyBorder="1" applyAlignment="1">
      <alignment horizontal="center" vertical="center" wrapText="1"/>
    </xf>
    <xf numFmtId="0" fontId="7" fillId="0" borderId="9" xfId="0" applyFont="1" applyBorder="1" applyAlignment="1">
      <alignment horizontal="center" vertical="center" wrapText="1"/>
    </xf>
    <xf numFmtId="0" fontId="3" fillId="0" borderId="5" xfId="0" applyFont="1" applyBorder="1" applyAlignment="1">
      <alignment horizontal="center" vertical="center"/>
    </xf>
    <xf numFmtId="0" fontId="3" fillId="0" borderId="6" xfId="0" applyFont="1" applyBorder="1" applyAlignment="1">
      <alignment horizontal="center" vertical="center"/>
    </xf>
    <xf numFmtId="0" fontId="7" fillId="0" borderId="1" xfId="0" applyFont="1" applyBorder="1" applyAlignment="1">
      <alignment horizontal="center" vertical="center" wrapText="1"/>
    </xf>
    <xf numFmtId="0" fontId="3" fillId="2" borderId="5" xfId="0" applyFont="1" applyFill="1" applyBorder="1" applyAlignment="1">
      <alignment horizontal="center" vertical="center"/>
    </xf>
    <xf numFmtId="0" fontId="3" fillId="2" borderId="6" xfId="0" applyFont="1" applyFill="1" applyBorder="1" applyAlignment="1">
      <alignment horizontal="center" vertical="center"/>
    </xf>
    <xf numFmtId="1" fontId="1" fillId="0" borderId="7" xfId="1" applyNumberFormat="1" applyFont="1" applyBorder="1" applyAlignment="1">
      <alignment horizontal="center" vertical="center" wrapText="1"/>
    </xf>
    <xf numFmtId="1" fontId="1" fillId="0" borderId="8" xfId="1" applyNumberFormat="1" applyFont="1" applyBorder="1" applyAlignment="1">
      <alignment horizontal="center" vertical="center" wrapText="1"/>
    </xf>
    <xf numFmtId="1" fontId="1" fillId="0" borderId="9" xfId="1" applyNumberFormat="1" applyFont="1" applyBorder="1" applyAlignment="1">
      <alignment horizontal="center" vertical="center" wrapText="1"/>
    </xf>
    <xf numFmtId="0" fontId="1" fillId="0" borderId="7" xfId="0" applyFont="1" applyBorder="1" applyAlignment="1">
      <alignment horizontal="center" vertical="center" wrapText="1"/>
    </xf>
    <xf numFmtId="0" fontId="1" fillId="0" borderId="8" xfId="0" applyFont="1" applyBorder="1" applyAlignment="1">
      <alignment horizontal="center" vertical="center" wrapText="1"/>
    </xf>
    <xf numFmtId="0" fontId="1" fillId="0" borderId="9" xfId="0" applyFont="1" applyBorder="1" applyAlignment="1">
      <alignment horizontal="center" vertical="center" wrapText="1"/>
    </xf>
    <xf numFmtId="0" fontId="3" fillId="2" borderId="18" xfId="0" applyFont="1" applyFill="1" applyBorder="1" applyAlignment="1">
      <alignment horizontal="center" vertical="center"/>
    </xf>
    <xf numFmtId="0" fontId="3" fillId="2" borderId="19" xfId="0" applyFont="1" applyFill="1" applyBorder="1" applyAlignment="1">
      <alignment horizontal="center" vertical="center"/>
    </xf>
    <xf numFmtId="0" fontId="12" fillId="2" borderId="4" xfId="0" applyFont="1" applyFill="1" applyBorder="1" applyAlignment="1">
      <alignment horizontal="center" vertical="center" wrapText="1"/>
    </xf>
    <xf numFmtId="0" fontId="12" fillId="2" borderId="5" xfId="0" applyFont="1" applyFill="1" applyBorder="1" applyAlignment="1">
      <alignment horizontal="center" vertical="center" wrapText="1"/>
    </xf>
    <xf numFmtId="0" fontId="12" fillId="2" borderId="6" xfId="0" applyFont="1" applyFill="1" applyBorder="1" applyAlignment="1">
      <alignment horizontal="center" vertical="center" wrapText="1"/>
    </xf>
    <xf numFmtId="0" fontId="3" fillId="2" borderId="1" xfId="0" applyFont="1" applyFill="1" applyBorder="1" applyAlignment="1">
      <alignment horizontal="center" vertical="center"/>
    </xf>
    <xf numFmtId="0" fontId="9" fillId="0" borderId="1" xfId="0" applyFont="1" applyBorder="1" applyAlignment="1">
      <alignment horizontal="center" vertical="center" wrapText="1"/>
    </xf>
    <xf numFmtId="0" fontId="6" fillId="0" borderId="1" xfId="0" applyFont="1" applyBorder="1" applyAlignment="1">
      <alignment horizontal="center" vertical="center"/>
    </xf>
    <xf numFmtId="0" fontId="1" fillId="2" borderId="1" xfId="0" applyFont="1" applyFill="1" applyBorder="1" applyAlignment="1">
      <alignment horizontal="center"/>
    </xf>
    <xf numFmtId="0" fontId="25" fillId="4" borderId="1" xfId="0" applyFont="1" applyFill="1" applyBorder="1" applyAlignment="1">
      <alignment horizontal="center"/>
    </xf>
    <xf numFmtId="0" fontId="29" fillId="0" borderId="0" xfId="0" applyFont="1" applyAlignment="1">
      <alignment horizontal="center" vertical="center"/>
    </xf>
    <xf numFmtId="0" fontId="0" fillId="0" borderId="0" xfId="0" applyAlignment="1">
      <alignment horizontal="center" vertical="center"/>
    </xf>
    <xf numFmtId="0" fontId="28" fillId="0" borderId="0" xfId="0" applyFont="1" applyAlignment="1">
      <alignment horizontal="center" vertical="center"/>
    </xf>
    <xf numFmtId="0" fontId="0" fillId="0" borderId="0" xfId="0" applyAlignment="1">
      <alignment vertical="center"/>
    </xf>
    <xf numFmtId="0" fontId="22" fillId="7" borderId="20" xfId="0" applyFont="1" applyFill="1" applyBorder="1" applyAlignment="1">
      <alignment horizontal="center" vertical="center" wrapText="1"/>
    </xf>
    <xf numFmtId="0" fontId="22" fillId="7" borderId="23" xfId="0" applyFont="1" applyFill="1" applyBorder="1" applyAlignment="1">
      <alignment horizontal="center" vertical="center" wrapText="1"/>
    </xf>
    <xf numFmtId="0" fontId="23" fillId="0" borderId="23" xfId="0" applyFont="1" applyBorder="1" applyAlignment="1">
      <alignment horizontal="center" vertical="center"/>
    </xf>
    <xf numFmtId="0" fontId="23" fillId="0" borderId="25" xfId="0" applyFont="1" applyBorder="1" applyAlignment="1">
      <alignment horizontal="center" vertical="center"/>
    </xf>
    <xf numFmtId="0" fontId="11" fillId="0" borderId="0" xfId="0" applyFont="1" applyAlignment="1">
      <alignment vertical="center"/>
    </xf>
    <xf numFmtId="0" fontId="11" fillId="0" borderId="0" xfId="0" applyFont="1" applyAlignment="1">
      <alignment horizontal="left" vertical="center"/>
    </xf>
    <xf numFmtId="0" fontId="1" fillId="12" borderId="0" xfId="0" applyFont="1" applyFill="1" applyAlignment="1">
      <alignment horizontal="center" vertical="center"/>
    </xf>
    <xf numFmtId="0" fontId="9" fillId="0" borderId="1" xfId="0" applyFont="1" applyFill="1" applyBorder="1" applyAlignment="1">
      <alignment horizontal="center" vertical="center" wrapText="1"/>
    </xf>
    <xf numFmtId="0" fontId="4" fillId="12" borderId="2" xfId="0" applyFont="1" applyFill="1" applyBorder="1" applyAlignment="1">
      <alignment horizontal="center" vertical="center" wrapText="1"/>
    </xf>
    <xf numFmtId="0" fontId="8" fillId="0" borderId="1" xfId="0" applyFont="1" applyBorder="1" applyAlignment="1">
      <alignment horizontal="center" vertical="center"/>
    </xf>
    <xf numFmtId="0" fontId="30" fillId="0" borderId="1" xfId="0" applyFont="1" applyBorder="1" applyAlignment="1">
      <alignment horizontal="center" vertical="center" wrapText="1"/>
    </xf>
    <xf numFmtId="1" fontId="30" fillId="0" borderId="1" xfId="1" applyNumberFormat="1" applyFont="1" applyBorder="1" applyAlignment="1">
      <alignment horizontal="center" vertical="center" wrapText="1"/>
    </xf>
    <xf numFmtId="0" fontId="8" fillId="0" borderId="1" xfId="0" applyFont="1" applyBorder="1" applyAlignment="1">
      <alignment horizontal="center" vertical="center" wrapText="1"/>
    </xf>
    <xf numFmtId="0" fontId="0" fillId="12" borderId="0" xfId="0" applyFill="1" applyAlignment="1">
      <alignment horizontal="center" vertical="center"/>
    </xf>
    <xf numFmtId="0" fontId="7" fillId="0" borderId="1" xfId="0" applyFont="1" applyFill="1" applyBorder="1" applyAlignment="1">
      <alignment horizontal="center" vertical="center" wrapText="1"/>
    </xf>
    <xf numFmtId="0" fontId="31" fillId="12" borderId="0" xfId="0" applyFont="1" applyFill="1" applyAlignment="1">
      <alignment horizontal="center" vertical="center" wrapText="1"/>
    </xf>
    <xf numFmtId="0" fontId="30" fillId="5" borderId="1" xfId="0" applyFont="1" applyFill="1" applyBorder="1" applyAlignment="1">
      <alignment horizontal="center" vertical="center"/>
    </xf>
    <xf numFmtId="0" fontId="7" fillId="13" borderId="1" xfId="0" applyFont="1" applyFill="1" applyBorder="1" applyAlignment="1">
      <alignment horizontal="center" vertical="center" wrapText="1"/>
    </xf>
    <xf numFmtId="0" fontId="32" fillId="13" borderId="1" xfId="0" applyFont="1" applyFill="1" applyBorder="1" applyAlignment="1">
      <alignment horizontal="center" vertical="center" wrapText="1"/>
    </xf>
    <xf numFmtId="0" fontId="32" fillId="13" borderId="7" xfId="0" applyFont="1" applyFill="1" applyBorder="1" applyAlignment="1">
      <alignment horizontal="center" vertical="center" wrapText="1"/>
    </xf>
    <xf numFmtId="0" fontId="1" fillId="13" borderId="0" xfId="0" applyFont="1" applyFill="1" applyAlignment="1">
      <alignment horizontal="center" vertical="center"/>
    </xf>
    <xf numFmtId="0" fontId="30" fillId="0" borderId="1" xfId="0" applyFont="1" applyFill="1" applyBorder="1" applyAlignment="1">
      <alignment horizontal="center" vertical="center"/>
    </xf>
    <xf numFmtId="0" fontId="33" fillId="0" borderId="1" xfId="0" applyFont="1" applyFill="1" applyBorder="1" applyAlignment="1">
      <alignment horizontal="center" vertical="center"/>
    </xf>
    <xf numFmtId="0" fontId="33" fillId="0" borderId="1" xfId="0" applyFont="1" applyFill="1" applyBorder="1" applyAlignment="1">
      <alignment horizontal="center" vertical="center" wrapText="1"/>
    </xf>
    <xf numFmtId="1" fontId="30" fillId="0" borderId="1" xfId="1" applyNumberFormat="1" applyFont="1" applyFill="1" applyBorder="1" applyAlignment="1">
      <alignment horizontal="center" vertical="center" wrapText="1"/>
    </xf>
    <xf numFmtId="0" fontId="30" fillId="0" borderId="1" xfId="0" applyFont="1" applyFill="1" applyBorder="1" applyAlignment="1">
      <alignment horizontal="center" vertical="center" wrapText="1"/>
    </xf>
    <xf numFmtId="0" fontId="1" fillId="0" borderId="0" xfId="0" applyFont="1" applyFill="1" applyAlignment="1">
      <alignment horizontal="center" vertical="center"/>
    </xf>
    <xf numFmtId="0" fontId="7" fillId="0" borderId="4" xfId="0" applyFont="1" applyFill="1" applyBorder="1" applyAlignment="1">
      <alignment horizontal="center" vertical="center" wrapText="1"/>
    </xf>
    <xf numFmtId="0" fontId="7" fillId="0" borderId="5" xfId="0" applyFont="1" applyFill="1" applyBorder="1" applyAlignment="1">
      <alignment horizontal="center" vertical="center" wrapText="1"/>
    </xf>
    <xf numFmtId="0" fontId="7" fillId="0" borderId="6" xfId="0" applyFont="1" applyFill="1" applyBorder="1" applyAlignment="1">
      <alignment horizontal="center" vertical="center" wrapText="1"/>
    </xf>
    <xf numFmtId="0" fontId="7" fillId="6" borderId="1" xfId="0" applyFont="1" applyFill="1" applyBorder="1" applyAlignment="1">
      <alignment horizontal="center" vertical="center" wrapText="1"/>
    </xf>
    <xf numFmtId="0" fontId="4" fillId="6" borderId="2" xfId="0" applyFont="1" applyFill="1" applyBorder="1" applyAlignment="1">
      <alignment horizontal="center" vertical="center" wrapText="1"/>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microsoft.com/office/2017/10/relationships/person" Target="persons/person.xm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12</xdr:row>
      <xdr:rowOff>0</xdr:rowOff>
    </xdr:from>
    <xdr:to>
      <xdr:col>1</xdr:col>
      <xdr:colOff>228600</xdr:colOff>
      <xdr:row>559</xdr:row>
      <xdr:rowOff>152568</xdr:rowOff>
    </xdr:to>
    <xdr:sp macro="" textlink="">
      <xdr:nvSpPr>
        <xdr:cNvPr id="2" name="AutoShape 1" descr="pdf">
          <a:extLst>
            <a:ext uri="{FF2B5EF4-FFF2-40B4-BE49-F238E27FC236}">
              <a16:creationId xmlns:a16="http://schemas.microsoft.com/office/drawing/2014/main" id="{65750A4B-8AF9-443D-9E21-2A0EAE2BA99B}"/>
            </a:ext>
          </a:extLst>
        </xdr:cNvPr>
        <xdr:cNvSpPr>
          <a:spLocks noChangeAspect="1" noChangeArrowheads="1"/>
        </xdr:cNvSpPr>
      </xdr:nvSpPr>
      <xdr:spPr bwMode="auto">
        <a:xfrm>
          <a:off x="1130300" y="4165600"/>
          <a:ext cx="228600" cy="3368886"/>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xdr:row>
      <xdr:rowOff>0</xdr:rowOff>
    </xdr:from>
    <xdr:to>
      <xdr:col>1</xdr:col>
      <xdr:colOff>152400</xdr:colOff>
      <xdr:row>18</xdr:row>
      <xdr:rowOff>152400</xdr:rowOff>
    </xdr:to>
    <xdr:sp macro="" textlink="">
      <xdr:nvSpPr>
        <xdr:cNvPr id="3" name="AutoShape 2" descr="PDF type">
          <a:extLst>
            <a:ext uri="{FF2B5EF4-FFF2-40B4-BE49-F238E27FC236}">
              <a16:creationId xmlns:a16="http://schemas.microsoft.com/office/drawing/2014/main" id="{9F9E17E0-7E06-4E66-9783-FDE6C8D161CE}"/>
            </a:ext>
          </a:extLst>
        </xdr:cNvPr>
        <xdr:cNvSpPr>
          <a:spLocks noChangeAspect="1" noChangeArrowheads="1"/>
        </xdr:cNvSpPr>
      </xdr:nvSpPr>
      <xdr:spPr bwMode="auto">
        <a:xfrm>
          <a:off x="1130300" y="587375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F80DA3-3B3C-42EB-9941-31D71D619FCB}">
  <dimension ref="A1:BD77"/>
  <sheetViews>
    <sheetView tabSelected="1" zoomScale="58" zoomScaleNormal="80" workbookViewId="0">
      <selection activeCell="F74" sqref="F74"/>
    </sheetView>
  </sheetViews>
  <sheetFormatPr defaultColWidth="8.7265625" defaultRowHeight="13" x14ac:dyDescent="0.35"/>
  <cols>
    <col min="1" max="1" width="8.7265625" style="11" customWidth="1"/>
    <col min="2" max="2" width="35.26953125" style="11" bestFit="1" customWidth="1"/>
    <col min="3" max="3" width="55.54296875" style="18" customWidth="1"/>
    <col min="4" max="4" width="27.90625" style="48" customWidth="1"/>
    <col min="5" max="5" width="32.08984375" style="11" customWidth="1"/>
    <col min="6" max="6" width="29.1796875" style="11" customWidth="1"/>
    <col min="7" max="7" width="33" style="11" customWidth="1"/>
    <col min="8" max="8" width="34.36328125" style="11" customWidth="1"/>
    <col min="9" max="16384" width="8.7265625" style="11"/>
  </cols>
  <sheetData>
    <row r="1" spans="1:56" x14ac:dyDescent="0.35">
      <c r="A1" s="124" t="s">
        <v>276</v>
      </c>
      <c r="B1" s="124"/>
      <c r="C1" s="124"/>
      <c r="D1" s="124"/>
      <c r="E1" s="124"/>
      <c r="F1" s="124"/>
      <c r="G1" s="125"/>
    </row>
    <row r="2" spans="1:56" x14ac:dyDescent="0.35">
      <c r="A2" s="127" t="s">
        <v>231</v>
      </c>
      <c r="B2" s="127"/>
      <c r="C2" s="127"/>
      <c r="D2" s="127"/>
      <c r="E2" s="127"/>
      <c r="F2" s="127"/>
      <c r="G2" s="128"/>
    </row>
    <row r="3" spans="1:56" x14ac:dyDescent="0.35">
      <c r="A3" s="12"/>
      <c r="B3" s="33" t="s">
        <v>213</v>
      </c>
      <c r="C3" s="13"/>
      <c r="D3" s="42"/>
      <c r="E3" s="12"/>
      <c r="F3" s="12"/>
      <c r="G3" s="12"/>
    </row>
    <row r="4" spans="1:56" ht="38.5" customHeight="1" x14ac:dyDescent="0.35">
      <c r="A4" s="56" t="s">
        <v>214</v>
      </c>
      <c r="B4" s="58" t="s">
        <v>90</v>
      </c>
      <c r="C4" s="57" t="s">
        <v>91</v>
      </c>
      <c r="D4" s="59" t="s">
        <v>85</v>
      </c>
      <c r="E4" s="58" t="s">
        <v>86</v>
      </c>
      <c r="F4" s="58" t="s">
        <v>216</v>
      </c>
      <c r="G4" s="58" t="s">
        <v>92</v>
      </c>
    </row>
    <row r="5" spans="1:56" ht="61" customHeight="1" x14ac:dyDescent="0.35">
      <c r="A5" s="15">
        <v>1</v>
      </c>
      <c r="B5" s="15" t="s">
        <v>1</v>
      </c>
      <c r="C5" s="16" t="s">
        <v>277</v>
      </c>
      <c r="D5" s="43" t="s">
        <v>311</v>
      </c>
      <c r="E5" s="17" t="s">
        <v>349</v>
      </c>
      <c r="F5" s="17" t="s">
        <v>269</v>
      </c>
      <c r="G5" s="10" t="s">
        <v>369</v>
      </c>
    </row>
    <row r="6" spans="1:56" ht="87.75" customHeight="1" x14ac:dyDescent="0.35">
      <c r="A6" s="15">
        <v>2</v>
      </c>
      <c r="B6" s="15" t="s">
        <v>2</v>
      </c>
      <c r="C6" s="16" t="s">
        <v>278</v>
      </c>
      <c r="D6" s="43" t="s">
        <v>311</v>
      </c>
      <c r="E6" s="16" t="s">
        <v>349</v>
      </c>
      <c r="F6" s="17" t="s">
        <v>269</v>
      </c>
      <c r="G6" s="16" t="s">
        <v>87</v>
      </c>
    </row>
    <row r="7" spans="1:56" ht="87.75" customHeight="1" x14ac:dyDescent="0.35">
      <c r="A7" s="15">
        <v>3</v>
      </c>
      <c r="B7" s="15" t="s">
        <v>3</v>
      </c>
      <c r="C7" s="16" t="s">
        <v>279</v>
      </c>
      <c r="D7" s="43" t="s">
        <v>311</v>
      </c>
      <c r="E7" s="16" t="s">
        <v>349</v>
      </c>
      <c r="F7" s="17" t="s">
        <v>269</v>
      </c>
      <c r="G7" s="16" t="s">
        <v>88</v>
      </c>
    </row>
    <row r="8" spans="1:56" ht="164" customHeight="1" x14ac:dyDescent="0.35">
      <c r="A8" s="15">
        <v>4</v>
      </c>
      <c r="B8" s="15" t="s">
        <v>6</v>
      </c>
      <c r="C8" s="13" t="s">
        <v>376</v>
      </c>
      <c r="D8" s="43" t="s">
        <v>367</v>
      </c>
      <c r="E8" s="16" t="s">
        <v>368</v>
      </c>
      <c r="F8" s="16" t="s">
        <v>344</v>
      </c>
      <c r="G8" s="16" t="s">
        <v>269</v>
      </c>
      <c r="H8" s="19"/>
    </row>
    <row r="9" spans="1:56" x14ac:dyDescent="0.35">
      <c r="A9" s="14"/>
      <c r="B9" s="37" t="s">
        <v>5</v>
      </c>
      <c r="C9" s="14"/>
      <c r="D9" s="44"/>
      <c r="E9" s="14"/>
      <c r="F9" s="14"/>
      <c r="G9" s="20"/>
      <c r="H9" s="19"/>
    </row>
    <row r="10" spans="1:56" s="23" customFormat="1" ht="39" customHeight="1" x14ac:dyDescent="0.35">
      <c r="A10" s="21" t="s">
        <v>370</v>
      </c>
      <c r="B10" s="22" t="s">
        <v>280</v>
      </c>
      <c r="C10" s="121" t="s">
        <v>391</v>
      </c>
      <c r="D10" s="129">
        <v>500</v>
      </c>
      <c r="E10" s="132" t="s">
        <v>323</v>
      </c>
      <c r="F10" s="132" t="s">
        <v>241</v>
      </c>
      <c r="G10" s="118" t="s">
        <v>375</v>
      </c>
      <c r="H10" s="19"/>
      <c r="I10" s="11"/>
      <c r="J10" s="11"/>
      <c r="K10" s="11"/>
      <c r="L10" s="11"/>
      <c r="M10" s="11"/>
      <c r="N10" s="11"/>
      <c r="O10" s="11"/>
      <c r="P10" s="11"/>
      <c r="Q10" s="11"/>
      <c r="R10" s="11"/>
      <c r="S10" s="11"/>
      <c r="T10" s="11"/>
      <c r="U10" s="11"/>
      <c r="V10" s="11"/>
      <c r="W10" s="11"/>
      <c r="X10" s="11"/>
      <c r="Y10" s="11"/>
      <c r="Z10" s="11"/>
      <c r="AA10" s="11"/>
      <c r="AB10" s="11"/>
      <c r="AC10" s="11"/>
      <c r="AD10" s="11"/>
      <c r="AE10" s="11"/>
      <c r="AF10" s="11"/>
      <c r="AG10" s="11"/>
      <c r="AH10" s="11"/>
      <c r="AI10" s="11"/>
      <c r="AJ10" s="11"/>
      <c r="AK10" s="11"/>
      <c r="AL10" s="11"/>
      <c r="AM10" s="11"/>
      <c r="AN10" s="11"/>
      <c r="AO10" s="11"/>
      <c r="AP10" s="11"/>
      <c r="AQ10" s="11"/>
      <c r="AR10" s="11"/>
      <c r="AS10" s="11"/>
      <c r="AT10" s="11"/>
      <c r="AU10" s="11"/>
      <c r="AV10" s="11"/>
      <c r="AW10" s="11"/>
      <c r="AX10" s="11"/>
      <c r="AY10" s="11"/>
      <c r="AZ10" s="11"/>
      <c r="BA10" s="11"/>
      <c r="BB10" s="11"/>
      <c r="BC10" s="11"/>
      <c r="BD10" s="11"/>
    </row>
    <row r="11" spans="1:56" s="23" customFormat="1" ht="36.5" customHeight="1" x14ac:dyDescent="0.35">
      <c r="A11" s="21" t="s">
        <v>371</v>
      </c>
      <c r="B11" s="22" t="s">
        <v>373</v>
      </c>
      <c r="C11" s="122"/>
      <c r="D11" s="130"/>
      <c r="E11" s="133"/>
      <c r="F11" s="133"/>
      <c r="G11" s="119"/>
      <c r="H11" s="19"/>
      <c r="I11" s="11"/>
      <c r="J11" s="11"/>
      <c r="K11" s="11"/>
      <c r="L11" s="11"/>
      <c r="M11" s="11"/>
      <c r="N11" s="11"/>
      <c r="O11" s="11"/>
      <c r="P11" s="11"/>
      <c r="Q11" s="11"/>
      <c r="R11" s="11"/>
      <c r="S11" s="11"/>
      <c r="T11" s="11"/>
      <c r="U11" s="11"/>
      <c r="V11" s="11"/>
      <c r="W11" s="11"/>
      <c r="X11" s="11"/>
      <c r="Y11" s="11"/>
      <c r="Z11" s="11"/>
      <c r="AA11" s="11"/>
      <c r="AB11" s="11"/>
      <c r="AC11" s="11"/>
      <c r="AD11" s="11"/>
      <c r="AE11" s="11"/>
      <c r="AF11" s="11"/>
      <c r="AG11" s="11"/>
      <c r="AH11" s="11"/>
      <c r="AI11" s="11"/>
      <c r="AJ11" s="11"/>
      <c r="AK11" s="11"/>
      <c r="AL11" s="11"/>
      <c r="AM11" s="11"/>
      <c r="AN11" s="11"/>
      <c r="AO11" s="11"/>
      <c r="AP11" s="11"/>
      <c r="AQ11" s="11"/>
      <c r="AR11" s="11"/>
      <c r="AS11" s="11"/>
      <c r="AT11" s="11"/>
      <c r="AU11" s="11"/>
      <c r="AV11" s="11"/>
      <c r="AW11" s="11"/>
      <c r="AX11" s="11"/>
      <c r="AY11" s="11"/>
      <c r="AZ11" s="11"/>
      <c r="BA11" s="11"/>
      <c r="BB11" s="11"/>
      <c r="BC11" s="11"/>
      <c r="BD11" s="11"/>
    </row>
    <row r="12" spans="1:56" s="23" customFormat="1" ht="49" customHeight="1" x14ac:dyDescent="0.35">
      <c r="A12" s="21" t="s">
        <v>372</v>
      </c>
      <c r="B12" s="22" t="s">
        <v>374</v>
      </c>
      <c r="C12" s="123"/>
      <c r="D12" s="131"/>
      <c r="E12" s="134"/>
      <c r="F12" s="134"/>
      <c r="G12" s="120"/>
      <c r="H12" s="19"/>
      <c r="I12" s="11"/>
      <c r="J12" s="11"/>
      <c r="K12" s="11"/>
      <c r="L12" s="11"/>
      <c r="M12" s="11"/>
      <c r="N12" s="11"/>
      <c r="O12" s="11"/>
      <c r="P12" s="11"/>
      <c r="Q12" s="11"/>
      <c r="R12" s="11"/>
      <c r="S12" s="11"/>
      <c r="T12" s="11"/>
      <c r="U12" s="11"/>
      <c r="V12" s="11"/>
      <c r="W12" s="11"/>
      <c r="X12" s="11"/>
      <c r="Y12" s="11"/>
      <c r="Z12" s="11"/>
      <c r="AA12" s="11"/>
      <c r="AB12" s="11"/>
      <c r="AC12" s="11"/>
      <c r="AD12" s="11"/>
      <c r="AE12" s="11"/>
      <c r="AF12" s="11"/>
      <c r="AG12" s="11"/>
      <c r="AH12" s="11"/>
      <c r="AI12" s="11"/>
      <c r="AJ12" s="11"/>
      <c r="AK12" s="11"/>
      <c r="AL12" s="11"/>
      <c r="AM12" s="11"/>
      <c r="AN12" s="11"/>
      <c r="AO12" s="11"/>
      <c r="AP12" s="11"/>
      <c r="AQ12" s="11"/>
      <c r="AR12" s="11"/>
      <c r="AS12" s="11"/>
      <c r="AT12" s="11"/>
      <c r="AU12" s="11"/>
      <c r="AV12" s="11"/>
      <c r="AW12" s="11"/>
      <c r="AX12" s="11"/>
      <c r="AY12" s="11"/>
      <c r="AZ12" s="11"/>
      <c r="BA12" s="11"/>
      <c r="BB12" s="11"/>
      <c r="BC12" s="11"/>
      <c r="BD12" s="11"/>
    </row>
    <row r="13" spans="1:56" ht="73.5" customHeight="1" x14ac:dyDescent="0.35">
      <c r="A13" s="15">
        <v>2</v>
      </c>
      <c r="B13" s="10" t="s">
        <v>93</v>
      </c>
      <c r="C13" s="10" t="s">
        <v>93</v>
      </c>
      <c r="D13" s="45">
        <v>1000</v>
      </c>
      <c r="E13" s="41" t="s">
        <v>323</v>
      </c>
      <c r="F13" s="10"/>
      <c r="G13" s="25" t="s">
        <v>312</v>
      </c>
      <c r="H13" s="19"/>
    </row>
    <row r="14" spans="1:56" ht="204.5" customHeight="1" x14ac:dyDescent="0.35">
      <c r="A14" s="15">
        <v>3</v>
      </c>
      <c r="B14" s="10" t="s">
        <v>326</v>
      </c>
      <c r="C14" s="10" t="s">
        <v>218</v>
      </c>
      <c r="D14" s="46" t="s">
        <v>351</v>
      </c>
      <c r="E14" s="25" t="s">
        <v>352</v>
      </c>
      <c r="F14" s="25"/>
      <c r="G14" s="25" t="s">
        <v>350</v>
      </c>
      <c r="H14" s="19"/>
      <c r="I14" s="19"/>
      <c r="J14" s="19"/>
      <c r="K14" s="19"/>
      <c r="L14" s="19"/>
      <c r="M14" s="19"/>
      <c r="N14" s="26"/>
    </row>
    <row r="15" spans="1:56" ht="54" customHeight="1" x14ac:dyDescent="0.35">
      <c r="A15" s="15">
        <v>4</v>
      </c>
      <c r="B15" s="15" t="s">
        <v>281</v>
      </c>
      <c r="C15" s="16" t="s">
        <v>377</v>
      </c>
      <c r="D15" s="43">
        <v>1000</v>
      </c>
      <c r="E15" s="16" t="s">
        <v>323</v>
      </c>
      <c r="F15" s="16" t="s">
        <v>215</v>
      </c>
      <c r="G15" s="16" t="s">
        <v>242</v>
      </c>
    </row>
    <row r="16" spans="1:56" ht="99.5" customHeight="1" x14ac:dyDescent="0.35">
      <c r="A16" s="15">
        <v>5</v>
      </c>
      <c r="B16" s="17" t="s">
        <v>572</v>
      </c>
      <c r="C16" s="16" t="s">
        <v>553</v>
      </c>
      <c r="D16" s="43">
        <v>1000</v>
      </c>
      <c r="E16" s="16" t="s">
        <v>323</v>
      </c>
      <c r="F16" s="16" t="s">
        <v>215</v>
      </c>
      <c r="G16" s="16" t="s">
        <v>242</v>
      </c>
      <c r="H16" s="155" t="s">
        <v>573</v>
      </c>
    </row>
    <row r="17" spans="1:14" ht="43" customHeight="1" x14ac:dyDescent="0.35">
      <c r="A17" s="15">
        <v>6</v>
      </c>
      <c r="B17" s="15" t="s">
        <v>4</v>
      </c>
      <c r="C17" s="16" t="s">
        <v>103</v>
      </c>
      <c r="D17" s="43">
        <v>1000</v>
      </c>
      <c r="E17" s="16" t="s">
        <v>323</v>
      </c>
      <c r="F17" s="16" t="s">
        <v>215</v>
      </c>
      <c r="G17" s="16"/>
    </row>
    <row r="18" spans="1:14" ht="59" customHeight="1" x14ac:dyDescent="0.35">
      <c r="A18" s="15">
        <v>7</v>
      </c>
      <c r="B18" s="15" t="s">
        <v>243</v>
      </c>
      <c r="C18" s="16" t="s">
        <v>244</v>
      </c>
      <c r="D18" s="43">
        <v>1000</v>
      </c>
      <c r="E18" s="16" t="s">
        <v>323</v>
      </c>
      <c r="F18" s="16" t="s">
        <v>215</v>
      </c>
      <c r="G18" s="16" t="s">
        <v>245</v>
      </c>
    </row>
    <row r="19" spans="1:14" ht="126.5" customHeight="1" x14ac:dyDescent="0.35">
      <c r="A19" s="15">
        <v>8</v>
      </c>
      <c r="B19" s="15" t="s">
        <v>384</v>
      </c>
      <c r="C19" s="16" t="s">
        <v>386</v>
      </c>
      <c r="D19" s="60">
        <v>1000</v>
      </c>
      <c r="E19" s="16" t="s">
        <v>323</v>
      </c>
      <c r="F19" s="16" t="s">
        <v>215</v>
      </c>
      <c r="G19" s="16" t="s">
        <v>385</v>
      </c>
    </row>
    <row r="20" spans="1:14" ht="54.65" customHeight="1" x14ac:dyDescent="0.35">
      <c r="A20" s="15">
        <v>9</v>
      </c>
      <c r="B20" s="15" t="s">
        <v>327</v>
      </c>
      <c r="C20" s="16" t="s">
        <v>102</v>
      </c>
      <c r="D20" s="43" t="s">
        <v>217</v>
      </c>
      <c r="E20" s="16" t="s">
        <v>323</v>
      </c>
      <c r="F20" s="16" t="s">
        <v>215</v>
      </c>
      <c r="G20" s="16"/>
    </row>
    <row r="21" spans="1:14" ht="39" x14ac:dyDescent="0.35">
      <c r="A21" s="15">
        <v>10</v>
      </c>
      <c r="B21" s="27" t="s">
        <v>256</v>
      </c>
      <c r="C21" s="16" t="s">
        <v>257</v>
      </c>
      <c r="D21" s="43" t="s">
        <v>217</v>
      </c>
      <c r="E21" s="16" t="s">
        <v>323</v>
      </c>
      <c r="F21" s="16" t="s">
        <v>215</v>
      </c>
      <c r="G21" s="16"/>
      <c r="H21" s="19"/>
    </row>
    <row r="22" spans="1:14" ht="77.5" customHeight="1" x14ac:dyDescent="0.35">
      <c r="A22" s="15">
        <v>11</v>
      </c>
      <c r="B22" s="15" t="s">
        <v>283</v>
      </c>
      <c r="C22" s="16" t="s">
        <v>246</v>
      </c>
      <c r="D22" s="43" t="s">
        <v>217</v>
      </c>
      <c r="E22" s="16" t="s">
        <v>323</v>
      </c>
      <c r="F22" s="16" t="s">
        <v>215</v>
      </c>
      <c r="G22" s="16"/>
    </row>
    <row r="23" spans="1:14" ht="108" customHeight="1" x14ac:dyDescent="0.35">
      <c r="A23" s="15">
        <v>12</v>
      </c>
      <c r="B23" s="15" t="s">
        <v>105</v>
      </c>
      <c r="C23" s="16" t="s">
        <v>313</v>
      </c>
      <c r="D23" s="43">
        <v>1000</v>
      </c>
      <c r="E23" s="16" t="s">
        <v>323</v>
      </c>
      <c r="F23" s="16" t="s">
        <v>247</v>
      </c>
      <c r="G23" s="16"/>
    </row>
    <row r="24" spans="1:14" ht="106" customHeight="1" x14ac:dyDescent="0.35">
      <c r="A24" s="15">
        <v>13</v>
      </c>
      <c r="B24" s="16" t="s">
        <v>284</v>
      </c>
      <c r="C24" s="16" t="s">
        <v>98</v>
      </c>
      <c r="D24" s="43">
        <v>1000</v>
      </c>
      <c r="E24" s="16" t="s">
        <v>323</v>
      </c>
      <c r="F24" s="16" t="s">
        <v>215</v>
      </c>
      <c r="G24" s="16"/>
      <c r="H24" s="19"/>
    </row>
    <row r="25" spans="1:14" ht="110.5" customHeight="1" x14ac:dyDescent="0.35">
      <c r="A25" s="15">
        <v>14</v>
      </c>
      <c r="B25" s="16" t="s">
        <v>285</v>
      </c>
      <c r="C25" s="16" t="s">
        <v>345</v>
      </c>
      <c r="D25" s="43">
        <v>1000</v>
      </c>
      <c r="E25" s="16" t="s">
        <v>323</v>
      </c>
      <c r="F25" s="16" t="s">
        <v>215</v>
      </c>
      <c r="G25" s="16"/>
      <c r="H25" s="19"/>
    </row>
    <row r="26" spans="1:14" ht="84.5" customHeight="1" x14ac:dyDescent="0.35">
      <c r="A26" s="15">
        <v>15</v>
      </c>
      <c r="B26" s="16" t="s">
        <v>99</v>
      </c>
      <c r="C26" s="16" t="s">
        <v>100</v>
      </c>
      <c r="D26" s="43">
        <v>1000</v>
      </c>
      <c r="E26" s="16" t="s">
        <v>323</v>
      </c>
      <c r="F26" s="16" t="s">
        <v>215</v>
      </c>
      <c r="G26" s="16"/>
      <c r="H26" s="19"/>
    </row>
    <row r="27" spans="1:14" ht="80.5" customHeight="1" x14ac:dyDescent="0.35">
      <c r="A27" s="15">
        <v>16</v>
      </c>
      <c r="B27" s="15" t="s">
        <v>328</v>
      </c>
      <c r="C27" s="16" t="s">
        <v>314</v>
      </c>
      <c r="D27" s="43">
        <v>1000</v>
      </c>
      <c r="E27" s="16" t="s">
        <v>323</v>
      </c>
      <c r="F27" s="16" t="s">
        <v>215</v>
      </c>
      <c r="G27" s="25" t="s">
        <v>249</v>
      </c>
      <c r="H27" s="19"/>
    </row>
    <row r="28" spans="1:14" ht="77" customHeight="1" x14ac:dyDescent="0.35">
      <c r="A28" s="15">
        <v>17</v>
      </c>
      <c r="B28" s="156" t="s">
        <v>479</v>
      </c>
      <c r="C28" s="10" t="s">
        <v>315</v>
      </c>
      <c r="D28" s="46" t="s">
        <v>250</v>
      </c>
      <c r="E28" s="25" t="s">
        <v>316</v>
      </c>
      <c r="F28" s="24"/>
      <c r="G28" s="24"/>
      <c r="H28" s="157" t="s">
        <v>574</v>
      </c>
      <c r="I28" s="19"/>
      <c r="J28" s="19"/>
      <c r="K28" s="19"/>
      <c r="L28" s="19"/>
      <c r="M28" s="19"/>
      <c r="N28" s="26"/>
    </row>
    <row r="29" spans="1:14" ht="26" x14ac:dyDescent="0.35">
      <c r="A29" s="15">
        <v>18</v>
      </c>
      <c r="B29" s="10" t="s">
        <v>286</v>
      </c>
      <c r="C29" s="10" t="s">
        <v>287</v>
      </c>
      <c r="D29" s="43">
        <v>1000</v>
      </c>
      <c r="E29" s="16" t="s">
        <v>323</v>
      </c>
      <c r="F29" s="24" t="s">
        <v>251</v>
      </c>
      <c r="G29" s="24"/>
      <c r="H29" s="19"/>
      <c r="I29" s="19"/>
      <c r="J29" s="19"/>
      <c r="K29" s="19"/>
      <c r="L29" s="19"/>
      <c r="M29" s="19"/>
      <c r="N29" s="26"/>
    </row>
    <row r="30" spans="1:14" ht="67" customHeight="1" x14ac:dyDescent="0.35">
      <c r="A30" s="15">
        <v>19</v>
      </c>
      <c r="B30" s="10" t="s">
        <v>288</v>
      </c>
      <c r="C30" s="10" t="s">
        <v>289</v>
      </c>
      <c r="D30" s="46" t="s">
        <v>250</v>
      </c>
      <c r="E30" s="25" t="s">
        <v>316</v>
      </c>
      <c r="F30" s="24"/>
      <c r="G30" s="24"/>
      <c r="H30" s="19"/>
      <c r="I30" s="19"/>
      <c r="J30" s="19"/>
      <c r="K30" s="19"/>
      <c r="L30" s="19"/>
      <c r="M30" s="19"/>
      <c r="N30" s="26"/>
    </row>
    <row r="31" spans="1:14" ht="117.5" customHeight="1" x14ac:dyDescent="0.35">
      <c r="A31" s="15">
        <v>20</v>
      </c>
      <c r="B31" s="10" t="s">
        <v>290</v>
      </c>
      <c r="C31" s="10" t="s">
        <v>291</v>
      </c>
      <c r="D31" s="45">
        <v>10000</v>
      </c>
      <c r="E31" s="16" t="s">
        <v>349</v>
      </c>
      <c r="F31" s="24"/>
      <c r="G31" s="24"/>
      <c r="H31" s="19"/>
      <c r="I31" s="19"/>
      <c r="J31" s="19"/>
      <c r="K31" s="19"/>
      <c r="L31" s="19"/>
      <c r="M31" s="19"/>
      <c r="N31" s="26"/>
    </row>
    <row r="32" spans="1:14" ht="153" customHeight="1" x14ac:dyDescent="0.35">
      <c r="A32" s="158">
        <v>21</v>
      </c>
      <c r="B32" s="159" t="s">
        <v>96</v>
      </c>
      <c r="C32" s="159" t="s">
        <v>292</v>
      </c>
      <c r="D32" s="160">
        <v>10000</v>
      </c>
      <c r="E32" s="159" t="s">
        <v>349</v>
      </c>
      <c r="F32" s="159"/>
      <c r="G32" s="161"/>
      <c r="H32" s="162" t="s">
        <v>480</v>
      </c>
      <c r="I32" s="19"/>
      <c r="J32" s="19"/>
      <c r="K32" s="19"/>
      <c r="L32" s="19"/>
      <c r="M32" s="19"/>
      <c r="N32" s="26"/>
    </row>
    <row r="33" spans="1:14" ht="77" customHeight="1" x14ac:dyDescent="0.35">
      <c r="A33" s="15">
        <v>22</v>
      </c>
      <c r="B33" s="163" t="s">
        <v>576</v>
      </c>
      <c r="C33" s="10" t="s">
        <v>346</v>
      </c>
      <c r="D33" s="45">
        <v>10000</v>
      </c>
      <c r="E33" s="16" t="s">
        <v>323</v>
      </c>
      <c r="F33" s="24"/>
      <c r="G33" s="24"/>
      <c r="H33" s="157" t="s">
        <v>575</v>
      </c>
      <c r="I33" s="19"/>
      <c r="J33" s="19"/>
      <c r="K33" s="19"/>
      <c r="L33" s="19"/>
      <c r="M33" s="19"/>
      <c r="N33" s="26"/>
    </row>
    <row r="34" spans="1:14" ht="65" x14ac:dyDescent="0.35">
      <c r="A34" s="15">
        <v>23</v>
      </c>
      <c r="B34" s="159" t="s">
        <v>97</v>
      </c>
      <c r="C34" s="159" t="s">
        <v>293</v>
      </c>
      <c r="D34" s="160">
        <v>10000</v>
      </c>
      <c r="E34" s="159" t="s">
        <v>349</v>
      </c>
      <c r="F34" s="24"/>
      <c r="G34" s="24"/>
      <c r="H34" s="162" t="s">
        <v>480</v>
      </c>
      <c r="I34" s="19"/>
      <c r="J34" s="19"/>
      <c r="K34" s="19"/>
      <c r="L34" s="19"/>
      <c r="M34" s="19"/>
      <c r="N34" s="26"/>
    </row>
    <row r="35" spans="1:14" ht="67" customHeight="1" x14ac:dyDescent="0.35">
      <c r="A35" s="15">
        <v>24</v>
      </c>
      <c r="B35" s="10" t="s">
        <v>294</v>
      </c>
      <c r="C35" s="10" t="s">
        <v>94</v>
      </c>
      <c r="D35" s="45">
        <v>5000</v>
      </c>
      <c r="E35" s="24" t="s">
        <v>248</v>
      </c>
      <c r="F35" s="24"/>
      <c r="G35" s="24" t="s">
        <v>252</v>
      </c>
      <c r="H35" s="19"/>
      <c r="I35" s="19"/>
      <c r="J35" s="19"/>
      <c r="K35" s="19"/>
      <c r="L35" s="19"/>
      <c r="M35" s="19"/>
      <c r="N35" s="26"/>
    </row>
    <row r="36" spans="1:14" ht="67" customHeight="1" x14ac:dyDescent="0.35">
      <c r="A36" s="15">
        <v>25</v>
      </c>
      <c r="B36" s="163" t="s">
        <v>577</v>
      </c>
      <c r="C36" s="10" t="s">
        <v>95</v>
      </c>
      <c r="D36" s="45">
        <v>5000</v>
      </c>
      <c r="E36" s="24" t="s">
        <v>248</v>
      </c>
      <c r="F36" s="24"/>
      <c r="G36" s="24" t="s">
        <v>252</v>
      </c>
      <c r="H36" s="157" t="s">
        <v>575</v>
      </c>
      <c r="I36" s="19"/>
      <c r="J36" s="19"/>
      <c r="K36" s="19"/>
      <c r="L36" s="19"/>
      <c r="M36" s="19"/>
      <c r="N36" s="26"/>
    </row>
    <row r="37" spans="1:14" ht="67" customHeight="1" x14ac:dyDescent="0.35">
      <c r="A37" s="15">
        <v>26</v>
      </c>
      <c r="B37" s="10" t="s">
        <v>347</v>
      </c>
      <c r="C37" s="10" t="s">
        <v>104</v>
      </c>
      <c r="D37" s="45">
        <v>5000</v>
      </c>
      <c r="E37" s="24" t="s">
        <v>248</v>
      </c>
      <c r="F37" s="24"/>
      <c r="G37" s="24" t="s">
        <v>252</v>
      </c>
      <c r="H37" s="19"/>
      <c r="I37" s="19"/>
      <c r="J37" s="19"/>
      <c r="K37" s="19"/>
      <c r="L37" s="19"/>
      <c r="M37" s="19"/>
      <c r="N37" s="26"/>
    </row>
    <row r="38" spans="1:14" ht="67" customHeight="1" x14ac:dyDescent="0.35">
      <c r="A38" s="158">
        <v>27</v>
      </c>
      <c r="B38" s="159" t="s">
        <v>295</v>
      </c>
      <c r="C38" s="159" t="s">
        <v>253</v>
      </c>
      <c r="D38" s="160">
        <v>1000</v>
      </c>
      <c r="E38" s="159" t="s">
        <v>254</v>
      </c>
      <c r="F38" s="79"/>
      <c r="G38" s="24"/>
      <c r="H38" s="164" t="s">
        <v>578</v>
      </c>
      <c r="I38" s="19"/>
      <c r="J38" s="19"/>
      <c r="K38" s="19"/>
      <c r="L38" s="19"/>
      <c r="M38" s="19"/>
      <c r="N38" s="26"/>
    </row>
    <row r="39" spans="1:14" ht="67" customHeight="1" x14ac:dyDescent="0.35">
      <c r="A39" s="15">
        <v>28</v>
      </c>
      <c r="B39" s="10" t="s">
        <v>296</v>
      </c>
      <c r="C39" s="10" t="s">
        <v>101</v>
      </c>
      <c r="D39" s="45">
        <v>5000</v>
      </c>
      <c r="E39" s="24" t="s">
        <v>254</v>
      </c>
      <c r="F39" s="24"/>
      <c r="G39" s="24"/>
      <c r="H39" s="19"/>
      <c r="I39" s="19"/>
      <c r="J39" s="19"/>
      <c r="K39" s="19"/>
      <c r="L39" s="19"/>
      <c r="M39" s="19"/>
      <c r="N39" s="26"/>
    </row>
    <row r="40" spans="1:14" ht="168" customHeight="1" x14ac:dyDescent="0.35">
      <c r="A40" s="15">
        <v>29</v>
      </c>
      <c r="B40" s="10" t="s">
        <v>263</v>
      </c>
      <c r="C40" s="34" t="s">
        <v>264</v>
      </c>
      <c r="D40" s="45">
        <v>5000</v>
      </c>
      <c r="E40" s="24" t="s">
        <v>248</v>
      </c>
      <c r="F40" s="24"/>
      <c r="G40" s="24"/>
      <c r="H40" s="19"/>
      <c r="I40" s="19"/>
      <c r="J40" s="19"/>
      <c r="K40" s="19"/>
      <c r="L40" s="19"/>
      <c r="M40" s="19"/>
      <c r="N40" s="26"/>
    </row>
    <row r="41" spans="1:14" ht="130.5" customHeight="1" x14ac:dyDescent="0.35">
      <c r="A41" s="15">
        <v>30</v>
      </c>
      <c r="B41" s="38" t="s">
        <v>265</v>
      </c>
      <c r="C41" s="34" t="s">
        <v>268</v>
      </c>
      <c r="D41" s="45">
        <v>5000</v>
      </c>
      <c r="E41" s="24" t="s">
        <v>248</v>
      </c>
      <c r="F41" s="24"/>
      <c r="G41" s="24"/>
      <c r="H41" s="19"/>
      <c r="I41" s="19"/>
      <c r="J41" s="19"/>
      <c r="K41" s="19"/>
      <c r="L41" s="19"/>
      <c r="M41" s="19"/>
      <c r="N41" s="26"/>
    </row>
    <row r="42" spans="1:14" ht="81" customHeight="1" x14ac:dyDescent="0.35">
      <c r="A42" s="15">
        <v>31</v>
      </c>
      <c r="B42" s="10" t="s">
        <v>317</v>
      </c>
      <c r="C42" s="10" t="s">
        <v>318</v>
      </c>
      <c r="D42" s="45">
        <v>1000</v>
      </c>
      <c r="E42" s="24" t="s">
        <v>254</v>
      </c>
      <c r="F42" s="24"/>
      <c r="G42" s="24"/>
      <c r="H42" s="19"/>
      <c r="I42" s="19"/>
      <c r="J42" s="19"/>
      <c r="K42" s="19"/>
      <c r="L42" s="19"/>
      <c r="M42" s="19"/>
      <c r="N42" s="26"/>
    </row>
    <row r="43" spans="1:14" ht="39" x14ac:dyDescent="0.35">
      <c r="A43" s="15">
        <v>32</v>
      </c>
      <c r="B43" s="10" t="s">
        <v>329</v>
      </c>
      <c r="C43" s="10" t="s">
        <v>212</v>
      </c>
      <c r="D43" s="45">
        <v>1000</v>
      </c>
      <c r="E43" s="24" t="s">
        <v>349</v>
      </c>
      <c r="F43" s="24"/>
      <c r="G43" s="24"/>
      <c r="H43" s="19"/>
      <c r="I43" s="19"/>
      <c r="J43" s="19"/>
      <c r="K43" s="19"/>
      <c r="L43" s="19"/>
      <c r="M43" s="19"/>
      <c r="N43" s="26"/>
    </row>
    <row r="44" spans="1:14" ht="36.65" customHeight="1" x14ac:dyDescent="0.35">
      <c r="A44" s="15">
        <v>33</v>
      </c>
      <c r="B44" s="25" t="s">
        <v>219</v>
      </c>
      <c r="C44" s="10" t="s">
        <v>220</v>
      </c>
      <c r="D44" s="126" t="s">
        <v>330</v>
      </c>
      <c r="E44" s="126"/>
      <c r="F44" s="10" t="s">
        <v>221</v>
      </c>
      <c r="G44" s="10" t="s">
        <v>255</v>
      </c>
      <c r="H44" s="19"/>
      <c r="I44" s="28"/>
      <c r="J44" s="28"/>
      <c r="K44" s="28"/>
      <c r="L44" s="28"/>
      <c r="M44" s="28"/>
      <c r="N44" s="29"/>
    </row>
    <row r="45" spans="1:14" ht="120" customHeight="1" x14ac:dyDescent="0.35">
      <c r="A45" s="15">
        <v>34</v>
      </c>
      <c r="B45" s="25" t="s">
        <v>388</v>
      </c>
      <c r="C45" s="10" t="s">
        <v>222</v>
      </c>
      <c r="D45" s="80">
        <v>1000</v>
      </c>
      <c r="E45" s="15" t="s">
        <v>248</v>
      </c>
      <c r="F45" s="25" t="s">
        <v>269</v>
      </c>
      <c r="G45" s="25" t="s">
        <v>383</v>
      </c>
      <c r="H45" s="19"/>
      <c r="I45" s="19"/>
      <c r="J45" s="19"/>
      <c r="K45" s="19"/>
      <c r="L45" s="19"/>
      <c r="M45" s="19"/>
      <c r="N45" s="26"/>
    </row>
    <row r="46" spans="1:14" ht="82" customHeight="1" x14ac:dyDescent="0.35">
      <c r="A46" s="15">
        <v>35</v>
      </c>
      <c r="B46" s="39" t="s">
        <v>305</v>
      </c>
      <c r="C46" s="10" t="s">
        <v>310</v>
      </c>
      <c r="D46" s="45">
        <v>1000</v>
      </c>
      <c r="E46" s="15" t="s">
        <v>248</v>
      </c>
      <c r="F46" s="25" t="s">
        <v>319</v>
      </c>
      <c r="G46" s="25"/>
      <c r="H46" s="19"/>
      <c r="I46" s="19"/>
      <c r="J46" s="19"/>
      <c r="K46" s="19"/>
      <c r="L46" s="19"/>
      <c r="M46" s="19"/>
      <c r="N46" s="26"/>
    </row>
    <row r="47" spans="1:14" ht="82" customHeight="1" x14ac:dyDescent="0.35">
      <c r="A47" s="15">
        <v>36</v>
      </c>
      <c r="B47" s="15" t="s">
        <v>354</v>
      </c>
      <c r="C47" s="36" t="s">
        <v>331</v>
      </c>
      <c r="D47" s="46">
        <v>1000</v>
      </c>
      <c r="E47" s="15" t="s">
        <v>248</v>
      </c>
      <c r="F47" s="16" t="s">
        <v>353</v>
      </c>
      <c r="G47" s="16" t="s">
        <v>242</v>
      </c>
      <c r="H47" s="19"/>
      <c r="I47" s="19"/>
      <c r="J47" s="19"/>
      <c r="K47" s="19"/>
      <c r="L47" s="19"/>
      <c r="M47" s="19"/>
      <c r="N47" s="26"/>
    </row>
    <row r="48" spans="1:14" ht="76" customHeight="1" x14ac:dyDescent="0.35">
      <c r="A48" s="15">
        <v>37</v>
      </c>
      <c r="B48" s="32" t="s">
        <v>275</v>
      </c>
      <c r="C48" s="35" t="s">
        <v>303</v>
      </c>
      <c r="D48" s="46">
        <v>1000</v>
      </c>
      <c r="E48" s="25" t="s">
        <v>254</v>
      </c>
      <c r="F48" s="25"/>
      <c r="G48" s="25"/>
      <c r="H48" s="19"/>
      <c r="I48" s="19"/>
      <c r="J48" s="19"/>
      <c r="K48" s="19"/>
      <c r="L48" s="19"/>
      <c r="M48" s="19"/>
      <c r="N48" s="26"/>
    </row>
    <row r="49" spans="1:14" ht="54.5" customHeight="1" x14ac:dyDescent="0.35">
      <c r="A49" s="15">
        <v>38</v>
      </c>
      <c r="B49" s="32" t="s">
        <v>320</v>
      </c>
      <c r="C49" s="35" t="s">
        <v>302</v>
      </c>
      <c r="D49" s="46">
        <v>1000</v>
      </c>
      <c r="E49" s="11" t="s">
        <v>248</v>
      </c>
      <c r="F49" s="25"/>
      <c r="G49" s="25"/>
      <c r="H49" s="19"/>
      <c r="I49" s="19"/>
      <c r="J49" s="19"/>
      <c r="K49" s="19"/>
      <c r="L49" s="19"/>
      <c r="M49" s="19"/>
      <c r="N49" s="26"/>
    </row>
    <row r="50" spans="1:14" ht="193" customHeight="1" x14ac:dyDescent="0.35">
      <c r="A50" s="165">
        <v>38</v>
      </c>
      <c r="B50" s="159" t="s">
        <v>261</v>
      </c>
      <c r="C50" s="159" t="s">
        <v>262</v>
      </c>
      <c r="D50" s="160">
        <v>10000</v>
      </c>
      <c r="E50" s="159" t="s">
        <v>260</v>
      </c>
      <c r="F50" s="159"/>
      <c r="G50" s="159" t="s">
        <v>321</v>
      </c>
      <c r="H50" s="157" t="s">
        <v>549</v>
      </c>
      <c r="I50" s="19"/>
      <c r="J50" s="19"/>
      <c r="K50" s="19"/>
      <c r="L50" s="19"/>
      <c r="M50" s="19"/>
      <c r="N50" s="26"/>
    </row>
    <row r="51" spans="1:14" ht="193" customHeight="1" x14ac:dyDescent="0.35">
      <c r="A51" s="15">
        <v>39</v>
      </c>
      <c r="B51" s="167" t="s">
        <v>481</v>
      </c>
      <c r="C51" s="10" t="s">
        <v>482</v>
      </c>
      <c r="D51" s="80">
        <v>5000</v>
      </c>
      <c r="E51" s="81">
        <v>100000</v>
      </c>
      <c r="F51" s="166" t="s">
        <v>550</v>
      </c>
      <c r="G51" s="55"/>
      <c r="H51" s="30"/>
      <c r="I51" s="30"/>
      <c r="J51" s="30"/>
      <c r="K51" s="30"/>
      <c r="L51" s="30"/>
      <c r="M51" s="30"/>
      <c r="N51" s="30"/>
    </row>
    <row r="52" spans="1:14" ht="193" customHeight="1" x14ac:dyDescent="0.35">
      <c r="A52" s="15">
        <v>40</v>
      </c>
      <c r="B52" s="167" t="s">
        <v>483</v>
      </c>
      <c r="C52" s="82" t="s">
        <v>485</v>
      </c>
      <c r="D52" s="80">
        <v>5000</v>
      </c>
      <c r="E52" s="81">
        <v>100000</v>
      </c>
      <c r="F52" s="166" t="s">
        <v>550</v>
      </c>
      <c r="G52" s="55"/>
      <c r="H52" s="30"/>
      <c r="I52" s="30"/>
      <c r="J52" s="30"/>
      <c r="K52" s="30"/>
      <c r="L52" s="30"/>
      <c r="M52" s="30"/>
      <c r="N52" s="30"/>
    </row>
    <row r="53" spans="1:14" ht="193" customHeight="1" x14ac:dyDescent="0.35">
      <c r="A53" s="84">
        <v>41</v>
      </c>
      <c r="B53" s="168" t="s">
        <v>484</v>
      </c>
      <c r="C53" s="83" t="s">
        <v>486</v>
      </c>
      <c r="D53" s="85">
        <v>5000</v>
      </c>
      <c r="E53" s="81">
        <v>100000</v>
      </c>
      <c r="F53" s="166" t="s">
        <v>550</v>
      </c>
      <c r="G53" s="55"/>
      <c r="H53" s="30"/>
      <c r="I53" s="30"/>
      <c r="J53" s="30"/>
      <c r="K53" s="30"/>
      <c r="L53" s="30"/>
      <c r="M53" s="30"/>
      <c r="N53" s="30"/>
    </row>
    <row r="54" spans="1:14" ht="193" customHeight="1" x14ac:dyDescent="0.35">
      <c r="A54" s="15">
        <v>42</v>
      </c>
      <c r="B54" s="167" t="s">
        <v>487</v>
      </c>
      <c r="C54" s="86" t="s">
        <v>554</v>
      </c>
      <c r="D54" s="80">
        <v>5000</v>
      </c>
      <c r="E54" s="81">
        <v>100000</v>
      </c>
      <c r="F54" s="166" t="s">
        <v>550</v>
      </c>
      <c r="G54" s="55"/>
      <c r="H54" s="30"/>
      <c r="I54" s="30"/>
      <c r="J54" s="30"/>
      <c r="K54" s="30"/>
      <c r="L54" s="30"/>
      <c r="M54" s="30"/>
      <c r="N54" s="30"/>
    </row>
    <row r="55" spans="1:14" ht="18" customHeight="1" x14ac:dyDescent="0.35">
      <c r="A55" s="135" t="s">
        <v>232</v>
      </c>
      <c r="B55" s="135"/>
      <c r="C55" s="135"/>
      <c r="D55" s="135"/>
      <c r="E55" s="136"/>
      <c r="F55" s="30"/>
    </row>
    <row r="56" spans="1:14" ht="18" customHeight="1" x14ac:dyDescent="0.35">
      <c r="A56" s="127" t="s">
        <v>0</v>
      </c>
      <c r="B56" s="127"/>
      <c r="C56" s="127"/>
      <c r="D56" s="127"/>
      <c r="E56" s="128"/>
      <c r="F56" s="30"/>
    </row>
    <row r="57" spans="1:14" ht="114" customHeight="1" x14ac:dyDescent="0.35">
      <c r="A57" s="15"/>
      <c r="B57" s="10" t="s">
        <v>332</v>
      </c>
      <c r="C57" s="16" t="s">
        <v>229</v>
      </c>
      <c r="D57" s="46">
        <v>1000</v>
      </c>
      <c r="E57" s="25" t="s">
        <v>349</v>
      </c>
    </row>
    <row r="58" spans="1:14" ht="49.5" customHeight="1" x14ac:dyDescent="0.35">
      <c r="A58" s="15"/>
      <c r="B58" s="10" t="s">
        <v>333</v>
      </c>
      <c r="C58" s="16" t="s">
        <v>579</v>
      </c>
      <c r="D58" s="46" t="s">
        <v>488</v>
      </c>
      <c r="E58" s="25" t="s">
        <v>228</v>
      </c>
      <c r="F58" s="40" t="s">
        <v>348</v>
      </c>
      <c r="G58" s="169" t="s">
        <v>580</v>
      </c>
    </row>
    <row r="59" spans="1:14" ht="50.15" customHeight="1" x14ac:dyDescent="0.35">
      <c r="A59" s="15"/>
      <c r="B59" s="10" t="s">
        <v>334</v>
      </c>
      <c r="C59" s="16" t="s">
        <v>230</v>
      </c>
      <c r="D59" s="46" t="s">
        <v>258</v>
      </c>
      <c r="E59" s="10" t="s">
        <v>335</v>
      </c>
    </row>
    <row r="60" spans="1:14" ht="27" customHeight="1" x14ac:dyDescent="0.35">
      <c r="A60" s="15"/>
      <c r="B60" s="10" t="s">
        <v>336</v>
      </c>
      <c r="C60" s="10" t="s">
        <v>336</v>
      </c>
      <c r="D60" s="46" t="s">
        <v>258</v>
      </c>
      <c r="E60" s="25" t="s">
        <v>259</v>
      </c>
      <c r="F60" s="11" t="s">
        <v>389</v>
      </c>
    </row>
    <row r="61" spans="1:14" ht="27" customHeight="1" x14ac:dyDescent="0.35">
      <c r="A61" s="137" t="s">
        <v>5</v>
      </c>
      <c r="B61" s="138"/>
      <c r="C61" s="138"/>
      <c r="D61" s="138"/>
      <c r="E61" s="139"/>
      <c r="F61" s="31"/>
    </row>
    <row r="62" spans="1:14" ht="38.5" customHeight="1" x14ac:dyDescent="0.35">
      <c r="A62" s="15">
        <v>1</v>
      </c>
      <c r="B62" s="10" t="s">
        <v>337</v>
      </c>
      <c r="C62" s="10" t="s">
        <v>330</v>
      </c>
      <c r="D62" s="47" t="s">
        <v>330</v>
      </c>
      <c r="E62" s="10" t="s">
        <v>330</v>
      </c>
      <c r="F62" s="31"/>
    </row>
    <row r="63" spans="1:14" ht="62.5" customHeight="1" x14ac:dyDescent="0.35">
      <c r="A63" s="15">
        <v>2</v>
      </c>
      <c r="B63" s="10" t="s">
        <v>304</v>
      </c>
      <c r="C63" s="10" t="s">
        <v>322</v>
      </c>
      <c r="D63" s="47" t="s">
        <v>330</v>
      </c>
      <c r="E63" s="10" t="s">
        <v>330</v>
      </c>
      <c r="F63" s="31"/>
    </row>
    <row r="64" spans="1:14" ht="39" x14ac:dyDescent="0.35">
      <c r="A64" s="15">
        <v>2</v>
      </c>
      <c r="B64" s="32" t="s">
        <v>297</v>
      </c>
      <c r="C64" s="35" t="s">
        <v>233</v>
      </c>
      <c r="D64" s="47" t="s">
        <v>342</v>
      </c>
      <c r="E64" s="10" t="s">
        <v>239</v>
      </c>
      <c r="F64" s="31"/>
    </row>
    <row r="65" spans="1:9" ht="39" x14ac:dyDescent="0.35">
      <c r="A65" s="15">
        <v>3</v>
      </c>
      <c r="B65" s="16" t="s">
        <v>572</v>
      </c>
      <c r="C65" s="35" t="s">
        <v>234</v>
      </c>
      <c r="D65" s="47" t="s">
        <v>342</v>
      </c>
      <c r="E65" s="10" t="s">
        <v>239</v>
      </c>
      <c r="F65" s="155" t="s">
        <v>575</v>
      </c>
    </row>
    <row r="66" spans="1:9" ht="26" x14ac:dyDescent="0.35">
      <c r="A66" s="170">
        <v>4</v>
      </c>
      <c r="B66" s="171" t="s">
        <v>282</v>
      </c>
      <c r="C66" s="172" t="s">
        <v>235</v>
      </c>
      <c r="D66" s="173" t="s">
        <v>342</v>
      </c>
      <c r="E66" s="174" t="s">
        <v>239</v>
      </c>
      <c r="F66" s="174" t="s">
        <v>390</v>
      </c>
    </row>
    <row r="67" spans="1:9" ht="86.5" customHeight="1" x14ac:dyDescent="0.35">
      <c r="A67" s="15">
        <v>5</v>
      </c>
      <c r="B67" s="32" t="s">
        <v>298</v>
      </c>
      <c r="C67" s="35" t="s">
        <v>236</v>
      </c>
      <c r="D67" s="47" t="s">
        <v>342</v>
      </c>
      <c r="E67" s="10" t="s">
        <v>239</v>
      </c>
      <c r="F67" s="31"/>
    </row>
    <row r="68" spans="1:9" ht="90" customHeight="1" x14ac:dyDescent="0.35">
      <c r="A68" s="15">
        <v>6</v>
      </c>
      <c r="B68" s="32" t="s">
        <v>295</v>
      </c>
      <c r="C68" s="35" t="s">
        <v>237</v>
      </c>
      <c r="D68" s="47" t="s">
        <v>342</v>
      </c>
      <c r="E68" s="10" t="s">
        <v>239</v>
      </c>
      <c r="F68" s="31"/>
    </row>
    <row r="69" spans="1:9" ht="90" customHeight="1" x14ac:dyDescent="0.35">
      <c r="A69" s="15">
        <v>7</v>
      </c>
      <c r="B69" s="32" t="s">
        <v>299</v>
      </c>
      <c r="C69" s="35" t="s">
        <v>238</v>
      </c>
      <c r="D69" s="47" t="s">
        <v>342</v>
      </c>
      <c r="E69" s="10" t="s">
        <v>239</v>
      </c>
      <c r="F69" s="31"/>
    </row>
    <row r="70" spans="1:9" ht="117.5" customHeight="1" x14ac:dyDescent="0.35">
      <c r="A70" s="15">
        <v>8</v>
      </c>
      <c r="B70" s="15" t="s">
        <v>325</v>
      </c>
      <c r="C70" s="16" t="s">
        <v>324</v>
      </c>
      <c r="D70" s="47" t="s">
        <v>342</v>
      </c>
      <c r="E70" s="10" t="s">
        <v>239</v>
      </c>
      <c r="F70" s="31"/>
      <c r="G70" s="18"/>
    </row>
    <row r="71" spans="1:9" ht="49.5" customHeight="1" x14ac:dyDescent="0.35">
      <c r="A71" s="140" t="s">
        <v>240</v>
      </c>
      <c r="B71" s="140"/>
      <c r="C71" s="140"/>
      <c r="D71" s="140"/>
      <c r="E71" s="140"/>
      <c r="F71" s="19"/>
      <c r="G71" s="19"/>
      <c r="H71" s="19"/>
    </row>
    <row r="72" spans="1:9" ht="74.5" customHeight="1" x14ac:dyDescent="0.35">
      <c r="A72" s="15">
        <v>1</v>
      </c>
      <c r="B72" s="10" t="s">
        <v>300</v>
      </c>
      <c r="C72" s="141" t="s">
        <v>267</v>
      </c>
      <c r="D72" s="141"/>
      <c r="E72" s="141"/>
      <c r="F72" s="19"/>
      <c r="G72" s="19"/>
      <c r="H72" s="19"/>
      <c r="I72" s="26"/>
    </row>
    <row r="73" spans="1:9" ht="26.15" customHeight="1" x14ac:dyDescent="0.35">
      <c r="A73" s="15">
        <v>2</v>
      </c>
      <c r="B73" s="10" t="s">
        <v>301</v>
      </c>
      <c r="C73" s="141" t="s">
        <v>267</v>
      </c>
      <c r="D73" s="141"/>
      <c r="E73" s="141"/>
      <c r="F73" s="19"/>
      <c r="G73" s="19"/>
      <c r="H73" s="19"/>
      <c r="I73" s="26"/>
    </row>
    <row r="74" spans="1:9" ht="26.15" customHeight="1" x14ac:dyDescent="0.35">
      <c r="A74" s="175">
        <v>3</v>
      </c>
      <c r="B74" s="179" t="s">
        <v>382</v>
      </c>
      <c r="C74" s="176" t="s">
        <v>267</v>
      </c>
      <c r="D74" s="177"/>
      <c r="E74" s="178"/>
      <c r="F74" s="180" t="s">
        <v>387</v>
      </c>
      <c r="G74" s="19"/>
      <c r="H74" s="19"/>
      <c r="I74" s="26"/>
    </row>
    <row r="75" spans="1:9" ht="14.5" customHeight="1" x14ac:dyDescent="0.35">
      <c r="B75" s="10" t="s">
        <v>338</v>
      </c>
      <c r="C75" s="126" t="s">
        <v>339</v>
      </c>
      <c r="D75" s="126"/>
      <c r="E75" s="126"/>
      <c r="F75" s="19"/>
      <c r="G75" s="19"/>
      <c r="H75" s="19"/>
      <c r="I75" s="29"/>
    </row>
    <row r="76" spans="1:9" x14ac:dyDescent="0.35">
      <c r="A76" s="15"/>
      <c r="B76" s="10" t="s">
        <v>340</v>
      </c>
      <c r="C76" s="141" t="s">
        <v>266</v>
      </c>
      <c r="D76" s="126"/>
      <c r="E76" s="126"/>
      <c r="F76" s="19"/>
      <c r="G76" s="19"/>
      <c r="H76" s="19"/>
      <c r="I76" s="29"/>
    </row>
    <row r="77" spans="1:9" ht="20" customHeight="1" x14ac:dyDescent="0.35">
      <c r="A77" s="15"/>
      <c r="B77" s="10" t="s">
        <v>334</v>
      </c>
      <c r="C77" s="126" t="s">
        <v>341</v>
      </c>
      <c r="D77" s="126"/>
      <c r="E77" s="126"/>
      <c r="F77" s="19"/>
      <c r="G77" s="28"/>
      <c r="H77" s="28"/>
      <c r="I77" s="29"/>
    </row>
  </sheetData>
  <mergeCells count="18">
    <mergeCell ref="C77:E77"/>
    <mergeCell ref="A55:E55"/>
    <mergeCell ref="A56:E56"/>
    <mergeCell ref="A61:E61"/>
    <mergeCell ref="A71:E71"/>
    <mergeCell ref="C72:E72"/>
    <mergeCell ref="C75:E75"/>
    <mergeCell ref="C76:E76"/>
    <mergeCell ref="C73:E73"/>
    <mergeCell ref="C74:E74"/>
    <mergeCell ref="G10:G12"/>
    <mergeCell ref="C10:C12"/>
    <mergeCell ref="A1:G1"/>
    <mergeCell ref="D44:E44"/>
    <mergeCell ref="A2:G2"/>
    <mergeCell ref="D10:D12"/>
    <mergeCell ref="E10:E12"/>
    <mergeCell ref="F10:F1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A10EDC-C2DF-4FEE-B524-1E79D831F31F}">
  <dimension ref="A1:C15"/>
  <sheetViews>
    <sheetView topLeftCell="A14" workbookViewId="0">
      <selection activeCell="B12" sqref="B12"/>
    </sheetView>
  </sheetViews>
  <sheetFormatPr defaultRowHeight="13" x14ac:dyDescent="0.3"/>
  <cols>
    <col min="1" max="1" width="42.54296875" style="1" customWidth="1"/>
    <col min="2" max="2" width="52.08984375" style="1" customWidth="1"/>
    <col min="3" max="3" width="32.81640625" style="1" customWidth="1"/>
    <col min="4" max="16384" width="8.7265625" style="1"/>
  </cols>
  <sheetData>
    <row r="1" spans="1:3" x14ac:dyDescent="0.3">
      <c r="A1" s="142" t="s">
        <v>77</v>
      </c>
      <c r="B1" s="142"/>
    </row>
    <row r="2" spans="1:3" x14ac:dyDescent="0.3">
      <c r="A2" s="6" t="s">
        <v>78</v>
      </c>
      <c r="B2" s="6" t="s">
        <v>270</v>
      </c>
    </row>
    <row r="3" spans="1:3" x14ac:dyDescent="0.3">
      <c r="A3" s="6" t="s">
        <v>79</v>
      </c>
      <c r="B3" s="6" t="s">
        <v>81</v>
      </c>
    </row>
    <row r="4" spans="1:3" x14ac:dyDescent="0.3">
      <c r="A4" s="6" t="s">
        <v>80</v>
      </c>
      <c r="B4" s="6" t="s">
        <v>81</v>
      </c>
    </row>
    <row r="5" spans="1:3" x14ac:dyDescent="0.3">
      <c r="A5" s="54" t="s">
        <v>82</v>
      </c>
      <c r="B5" s="6" t="s">
        <v>381</v>
      </c>
      <c r="C5" s="1" t="s">
        <v>378</v>
      </c>
    </row>
    <row r="6" spans="1:3" x14ac:dyDescent="0.3">
      <c r="A6" s="6" t="s">
        <v>83</v>
      </c>
      <c r="B6" s="6" t="s">
        <v>271</v>
      </c>
    </row>
    <row r="7" spans="1:3" x14ac:dyDescent="0.3">
      <c r="A7" s="6" t="s">
        <v>84</v>
      </c>
      <c r="B7" s="6" t="s">
        <v>274</v>
      </c>
    </row>
    <row r="8" spans="1:3" x14ac:dyDescent="0.3">
      <c r="A8" s="6" t="s">
        <v>272</v>
      </c>
      <c r="B8" s="6" t="s">
        <v>273</v>
      </c>
    </row>
    <row r="11" spans="1:3" x14ac:dyDescent="0.3">
      <c r="A11" s="143" t="s">
        <v>343</v>
      </c>
      <c r="B11" s="143"/>
    </row>
    <row r="12" spans="1:3" ht="104" x14ac:dyDescent="0.3">
      <c r="A12" s="7" t="s">
        <v>308</v>
      </c>
      <c r="B12" s="8" t="s">
        <v>379</v>
      </c>
    </row>
    <row r="13" spans="1:3" ht="104" x14ac:dyDescent="0.3">
      <c r="A13" s="7" t="s">
        <v>306</v>
      </c>
      <c r="B13" s="8" t="s">
        <v>380</v>
      </c>
    </row>
    <row r="14" spans="1:3" ht="91" x14ac:dyDescent="0.3">
      <c r="A14" s="7" t="s">
        <v>307</v>
      </c>
      <c r="B14" s="8" t="s">
        <v>309</v>
      </c>
    </row>
    <row r="15" spans="1:3" x14ac:dyDescent="0.3">
      <c r="B15" s="9"/>
    </row>
  </sheetData>
  <mergeCells count="2">
    <mergeCell ref="A1:B1"/>
    <mergeCell ref="A11:B1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7F8D37-5E01-4DC6-89A0-3A64935192A4}">
  <dimension ref="A1:I113"/>
  <sheetViews>
    <sheetView workbookViewId="0">
      <selection activeCell="B8" sqref="B8"/>
    </sheetView>
  </sheetViews>
  <sheetFormatPr defaultRowHeight="13" x14ac:dyDescent="0.3"/>
  <cols>
    <col min="1" max="1" width="9.08984375" style="1" bestFit="1" customWidth="1"/>
    <col min="2" max="2" width="68.81640625" style="1" customWidth="1"/>
    <col min="3" max="3" width="36.54296875" style="1" bestFit="1" customWidth="1"/>
    <col min="4" max="6" width="8.7265625" style="1"/>
    <col min="7" max="7" width="24.08984375" style="1" customWidth="1"/>
    <col min="8" max="8" width="50.81640625" style="1" customWidth="1"/>
    <col min="9" max="9" width="38.26953125" style="1" customWidth="1"/>
    <col min="10" max="16384" width="8.7265625" style="1"/>
  </cols>
  <sheetData>
    <row r="1" spans="1:9" ht="18.5" x14ac:dyDescent="0.3">
      <c r="A1" s="115" t="s">
        <v>7</v>
      </c>
      <c r="B1" s="115"/>
      <c r="C1" s="115"/>
      <c r="G1" s="108" t="s">
        <v>7</v>
      </c>
      <c r="H1" s="110"/>
      <c r="I1" s="108"/>
    </row>
    <row r="2" spans="1:9" ht="26" x14ac:dyDescent="0.3">
      <c r="A2" s="2" t="s">
        <v>8</v>
      </c>
      <c r="B2" s="2" t="s">
        <v>9</v>
      </c>
      <c r="C2" s="2" t="s">
        <v>10</v>
      </c>
      <c r="G2" s="61" t="s">
        <v>8</v>
      </c>
      <c r="H2" s="62" t="s">
        <v>392</v>
      </c>
      <c r="I2" s="61" t="s">
        <v>393</v>
      </c>
    </row>
    <row r="3" spans="1:9" ht="52" x14ac:dyDescent="0.3">
      <c r="A3" s="3" t="s">
        <v>11</v>
      </c>
      <c r="B3" s="4" t="s">
        <v>12</v>
      </c>
      <c r="C3" s="5">
        <v>1</v>
      </c>
      <c r="D3" s="1" t="s">
        <v>478</v>
      </c>
      <c r="G3" s="63">
        <v>1</v>
      </c>
      <c r="H3" s="64" t="s">
        <v>394</v>
      </c>
      <c r="I3" s="65">
        <v>1</v>
      </c>
    </row>
    <row r="4" spans="1:9" ht="26" x14ac:dyDescent="0.3">
      <c r="A4" s="3" t="s">
        <v>13</v>
      </c>
      <c r="B4" s="4" t="s">
        <v>14</v>
      </c>
      <c r="C4" s="5">
        <v>1</v>
      </c>
      <c r="G4" s="63">
        <v>2</v>
      </c>
      <c r="H4" s="64" t="s">
        <v>395</v>
      </c>
      <c r="I4" s="65">
        <v>1</v>
      </c>
    </row>
    <row r="5" spans="1:9" ht="26" x14ac:dyDescent="0.3">
      <c r="A5" s="3" t="s">
        <v>15</v>
      </c>
      <c r="B5" s="4" t="s">
        <v>16</v>
      </c>
      <c r="C5" s="5">
        <v>0.5</v>
      </c>
      <c r="G5" s="63">
        <v>3</v>
      </c>
      <c r="H5" s="64" t="s">
        <v>396</v>
      </c>
      <c r="I5" s="65">
        <v>1</v>
      </c>
    </row>
    <row r="6" spans="1:9" ht="26" x14ac:dyDescent="0.3">
      <c r="A6" s="3" t="s">
        <v>17</v>
      </c>
      <c r="B6" s="4" t="s">
        <v>18</v>
      </c>
      <c r="C6" s="5">
        <v>0.5</v>
      </c>
      <c r="G6" s="63">
        <v>4</v>
      </c>
      <c r="H6" s="64" t="s">
        <v>397</v>
      </c>
      <c r="I6" s="65">
        <v>1</v>
      </c>
    </row>
    <row r="7" spans="1:9" ht="26" x14ac:dyDescent="0.3">
      <c r="A7" s="3" t="s">
        <v>19</v>
      </c>
      <c r="B7" s="4" t="s">
        <v>20</v>
      </c>
      <c r="C7" s="5">
        <v>1</v>
      </c>
      <c r="G7" s="63">
        <v>5</v>
      </c>
      <c r="H7" s="64" t="s">
        <v>398</v>
      </c>
      <c r="I7" s="65">
        <v>1</v>
      </c>
    </row>
    <row r="8" spans="1:9" ht="26" x14ac:dyDescent="0.3">
      <c r="G8" s="63">
        <v>6</v>
      </c>
      <c r="H8" s="64" t="s">
        <v>399</v>
      </c>
      <c r="I8" s="65">
        <v>1</v>
      </c>
    </row>
    <row r="9" spans="1:9" ht="26" x14ac:dyDescent="0.3">
      <c r="A9" s="115" t="s">
        <v>21</v>
      </c>
      <c r="B9" s="115"/>
      <c r="C9" s="115"/>
      <c r="G9" s="63">
        <v>7</v>
      </c>
      <c r="H9" s="64" t="s">
        <v>400</v>
      </c>
      <c r="I9" s="65">
        <v>1</v>
      </c>
    </row>
    <row r="10" spans="1:9" ht="65" x14ac:dyDescent="0.3">
      <c r="A10" s="2" t="s">
        <v>8</v>
      </c>
      <c r="B10" s="2" t="s">
        <v>9</v>
      </c>
      <c r="C10" s="2" t="s">
        <v>22</v>
      </c>
      <c r="G10" s="63">
        <v>8</v>
      </c>
      <c r="H10" s="64" t="s">
        <v>401</v>
      </c>
      <c r="I10" s="65">
        <v>1</v>
      </c>
    </row>
    <row r="11" spans="1:9" ht="18.5" x14ac:dyDescent="0.3">
      <c r="A11" s="114" t="s">
        <v>11</v>
      </c>
      <c r="B11" s="4" t="s">
        <v>23</v>
      </c>
      <c r="C11" s="6"/>
      <c r="G11" s="108" t="s">
        <v>21</v>
      </c>
      <c r="H11" s="110"/>
      <c r="I11" s="108"/>
    </row>
    <row r="12" spans="1:9" x14ac:dyDescent="0.3">
      <c r="A12" s="114"/>
      <c r="B12" s="4" t="s">
        <v>24</v>
      </c>
      <c r="C12" s="5">
        <v>0.75</v>
      </c>
      <c r="G12" s="61" t="s">
        <v>214</v>
      </c>
      <c r="H12" s="62" t="s">
        <v>402</v>
      </c>
      <c r="I12" s="61" t="s">
        <v>403</v>
      </c>
    </row>
    <row r="13" spans="1:9" x14ac:dyDescent="0.3">
      <c r="A13" s="114"/>
      <c r="B13" s="4" t="s">
        <v>25</v>
      </c>
      <c r="C13" s="5">
        <v>0.2</v>
      </c>
      <c r="G13" s="109">
        <v>1</v>
      </c>
      <c r="H13" s="64" t="s">
        <v>404</v>
      </c>
      <c r="I13" s="63"/>
    </row>
    <row r="14" spans="1:9" x14ac:dyDescent="0.3">
      <c r="A14" s="114" t="s">
        <v>13</v>
      </c>
      <c r="B14" s="4" t="s">
        <v>26</v>
      </c>
      <c r="C14" s="4"/>
      <c r="G14" s="109"/>
      <c r="H14" s="64" t="s">
        <v>405</v>
      </c>
      <c r="I14" s="65">
        <v>0.5</v>
      </c>
    </row>
    <row r="15" spans="1:9" x14ac:dyDescent="0.3">
      <c r="A15" s="114"/>
      <c r="B15" s="4" t="s">
        <v>27</v>
      </c>
      <c r="C15" s="5">
        <v>0.2</v>
      </c>
      <c r="G15" s="109"/>
      <c r="H15" s="64" t="s">
        <v>406</v>
      </c>
      <c r="I15" s="65">
        <v>0.5</v>
      </c>
    </row>
    <row r="16" spans="1:9" x14ac:dyDescent="0.3">
      <c r="A16" s="114"/>
      <c r="B16" s="4" t="s">
        <v>28</v>
      </c>
      <c r="C16" s="5">
        <v>0.05</v>
      </c>
      <c r="G16" s="109"/>
      <c r="H16" s="64" t="s">
        <v>407</v>
      </c>
      <c r="I16" s="65">
        <v>0.5</v>
      </c>
    </row>
    <row r="17" spans="1:9" x14ac:dyDescent="0.3">
      <c r="A17" s="114"/>
      <c r="B17" s="4" t="s">
        <v>29</v>
      </c>
      <c r="C17" s="5">
        <v>0.02</v>
      </c>
      <c r="G17" s="109"/>
      <c r="H17" s="64" t="s">
        <v>408</v>
      </c>
      <c r="I17" s="65">
        <v>0.2</v>
      </c>
    </row>
    <row r="18" spans="1:9" x14ac:dyDescent="0.3">
      <c r="A18" s="114"/>
      <c r="B18" s="4" t="s">
        <v>30</v>
      </c>
      <c r="C18" s="5">
        <v>0.01</v>
      </c>
      <c r="G18" s="109"/>
      <c r="H18" s="64" t="s">
        <v>409</v>
      </c>
      <c r="I18" s="65">
        <v>0.05</v>
      </c>
    </row>
    <row r="19" spans="1:9" x14ac:dyDescent="0.3">
      <c r="A19" s="3" t="s">
        <v>15</v>
      </c>
      <c r="B19" s="4" t="s">
        <v>31</v>
      </c>
      <c r="C19" s="5">
        <v>0.4</v>
      </c>
      <c r="G19" s="109"/>
      <c r="H19" s="64" t="s">
        <v>410</v>
      </c>
      <c r="I19" s="65">
        <v>0.02</v>
      </c>
    </row>
    <row r="20" spans="1:9" x14ac:dyDescent="0.3">
      <c r="A20" s="3" t="s">
        <v>17</v>
      </c>
      <c r="B20" s="4" t="s">
        <v>32</v>
      </c>
      <c r="C20" s="5">
        <v>0.35</v>
      </c>
      <c r="G20" s="109"/>
      <c r="H20" s="64" t="s">
        <v>411</v>
      </c>
      <c r="I20" s="65">
        <v>0.01</v>
      </c>
    </row>
    <row r="21" spans="1:9" x14ac:dyDescent="0.3">
      <c r="A21" s="114" t="s">
        <v>19</v>
      </c>
      <c r="B21" s="4" t="s">
        <v>33</v>
      </c>
      <c r="C21" s="4"/>
      <c r="G21" s="63">
        <v>2</v>
      </c>
      <c r="H21" s="64" t="s">
        <v>412</v>
      </c>
      <c r="I21" s="65">
        <v>0.5</v>
      </c>
    </row>
    <row r="22" spans="1:9" x14ac:dyDescent="0.3">
      <c r="A22" s="114"/>
      <c r="B22" s="4" t="s">
        <v>34</v>
      </c>
      <c r="C22" s="5">
        <v>0.25</v>
      </c>
      <c r="G22" s="63">
        <v>3</v>
      </c>
      <c r="H22" s="64" t="s">
        <v>413</v>
      </c>
      <c r="I22" s="65">
        <v>0.2</v>
      </c>
    </row>
    <row r="23" spans="1:9" x14ac:dyDescent="0.3">
      <c r="A23" s="114"/>
      <c r="B23" s="4" t="s">
        <v>35</v>
      </c>
      <c r="C23" s="5">
        <v>0.1</v>
      </c>
      <c r="G23" s="63">
        <v>4</v>
      </c>
      <c r="H23" s="64" t="s">
        <v>31</v>
      </c>
      <c r="I23" s="65">
        <v>0.4</v>
      </c>
    </row>
    <row r="24" spans="1:9" x14ac:dyDescent="0.3">
      <c r="A24" s="114" t="s">
        <v>36</v>
      </c>
      <c r="B24" s="4" t="s">
        <v>37</v>
      </c>
      <c r="C24" s="4"/>
      <c r="G24" s="63">
        <v>5</v>
      </c>
      <c r="H24" s="64" t="s">
        <v>414</v>
      </c>
      <c r="I24" s="65">
        <v>0.35</v>
      </c>
    </row>
    <row r="25" spans="1:9" x14ac:dyDescent="0.3">
      <c r="A25" s="114"/>
      <c r="B25" s="4" t="s">
        <v>38</v>
      </c>
      <c r="C25" s="5">
        <v>0.1</v>
      </c>
      <c r="G25" s="111">
        <v>6</v>
      </c>
      <c r="H25" s="64" t="s">
        <v>33</v>
      </c>
      <c r="I25" s="63"/>
    </row>
    <row r="26" spans="1:9" x14ac:dyDescent="0.3">
      <c r="A26" s="114"/>
      <c r="B26" s="4" t="s">
        <v>39</v>
      </c>
      <c r="C26" s="5">
        <v>0.08</v>
      </c>
      <c r="G26" s="112"/>
      <c r="H26" s="64" t="s">
        <v>415</v>
      </c>
      <c r="I26" s="65">
        <v>0.25</v>
      </c>
    </row>
    <row r="27" spans="1:9" x14ac:dyDescent="0.3">
      <c r="A27" s="114"/>
      <c r="B27" s="4" t="s">
        <v>40</v>
      </c>
      <c r="C27" s="5">
        <v>0.04</v>
      </c>
      <c r="G27" s="113"/>
      <c r="H27" s="64" t="s">
        <v>416</v>
      </c>
      <c r="I27" s="65">
        <v>0.1</v>
      </c>
    </row>
    <row r="28" spans="1:9" x14ac:dyDescent="0.3">
      <c r="A28" s="114" t="s">
        <v>41</v>
      </c>
      <c r="B28" s="4" t="s">
        <v>42</v>
      </c>
      <c r="C28" s="4"/>
      <c r="G28" s="109">
        <v>7</v>
      </c>
      <c r="H28" s="64" t="s">
        <v>417</v>
      </c>
      <c r="I28" s="63"/>
    </row>
    <row r="29" spans="1:9" x14ac:dyDescent="0.3">
      <c r="A29" s="114"/>
      <c r="B29" s="4" t="s">
        <v>38</v>
      </c>
      <c r="C29" s="5">
        <v>0.06</v>
      </c>
      <c r="G29" s="109"/>
      <c r="H29" s="64" t="s">
        <v>418</v>
      </c>
      <c r="I29" s="65">
        <v>0.1</v>
      </c>
    </row>
    <row r="30" spans="1:9" x14ac:dyDescent="0.3">
      <c r="A30" s="114"/>
      <c r="B30" s="4" t="s">
        <v>39</v>
      </c>
      <c r="C30" s="5">
        <v>0.04</v>
      </c>
      <c r="G30" s="109"/>
      <c r="H30" s="64" t="s">
        <v>419</v>
      </c>
      <c r="I30" s="65">
        <v>0.08</v>
      </c>
    </row>
    <row r="31" spans="1:9" x14ac:dyDescent="0.3">
      <c r="A31" s="114"/>
      <c r="B31" s="4" t="s">
        <v>40</v>
      </c>
      <c r="C31" s="5">
        <v>0.02</v>
      </c>
      <c r="G31" s="109"/>
      <c r="H31" s="64" t="s">
        <v>416</v>
      </c>
      <c r="I31" s="65">
        <v>0.04</v>
      </c>
    </row>
    <row r="32" spans="1:9" x14ac:dyDescent="0.3">
      <c r="A32" s="114" t="s">
        <v>43</v>
      </c>
      <c r="B32" s="4" t="s">
        <v>44</v>
      </c>
      <c r="C32" s="4"/>
      <c r="G32" s="109">
        <v>8</v>
      </c>
      <c r="H32" s="64" t="s">
        <v>42</v>
      </c>
      <c r="I32" s="63"/>
    </row>
    <row r="33" spans="1:9" x14ac:dyDescent="0.3">
      <c r="A33" s="114"/>
      <c r="B33" s="4" t="s">
        <v>38</v>
      </c>
      <c r="C33" s="5">
        <v>0.05</v>
      </c>
      <c r="G33" s="109"/>
      <c r="H33" s="64" t="s">
        <v>418</v>
      </c>
      <c r="I33" s="65">
        <v>0.06</v>
      </c>
    </row>
    <row r="34" spans="1:9" x14ac:dyDescent="0.3">
      <c r="A34" s="114"/>
      <c r="B34" s="4" t="s">
        <v>39</v>
      </c>
      <c r="C34" s="5">
        <v>0.03</v>
      </c>
      <c r="G34" s="109"/>
      <c r="H34" s="64" t="s">
        <v>419</v>
      </c>
      <c r="I34" s="65">
        <v>0.04</v>
      </c>
    </row>
    <row r="35" spans="1:9" x14ac:dyDescent="0.3">
      <c r="A35" s="114"/>
      <c r="B35" s="4" t="s">
        <v>40</v>
      </c>
      <c r="C35" s="5">
        <v>0.02</v>
      </c>
      <c r="G35" s="109"/>
      <c r="H35" s="64" t="s">
        <v>416</v>
      </c>
      <c r="I35" s="65">
        <v>0.02</v>
      </c>
    </row>
    <row r="36" spans="1:9" x14ac:dyDescent="0.3">
      <c r="A36" s="114" t="s">
        <v>45</v>
      </c>
      <c r="B36" s="4" t="s">
        <v>46</v>
      </c>
      <c r="C36" s="4"/>
      <c r="G36" s="109">
        <v>9</v>
      </c>
      <c r="H36" s="64" t="s">
        <v>44</v>
      </c>
      <c r="I36" s="63"/>
    </row>
    <row r="37" spans="1:9" x14ac:dyDescent="0.3">
      <c r="A37" s="114"/>
      <c r="B37" s="4" t="s">
        <v>38</v>
      </c>
      <c r="C37" s="5">
        <v>0.04</v>
      </c>
      <c r="G37" s="109"/>
      <c r="H37" s="64" t="s">
        <v>418</v>
      </c>
      <c r="I37" s="65">
        <v>0.05</v>
      </c>
    </row>
    <row r="38" spans="1:9" x14ac:dyDescent="0.3">
      <c r="A38" s="114"/>
      <c r="B38" s="4" t="s">
        <v>39</v>
      </c>
      <c r="C38" s="5">
        <v>0.03</v>
      </c>
      <c r="G38" s="109"/>
      <c r="H38" s="64" t="s">
        <v>419</v>
      </c>
      <c r="I38" s="65">
        <v>0.04</v>
      </c>
    </row>
    <row r="39" spans="1:9" x14ac:dyDescent="0.3">
      <c r="A39" s="114"/>
      <c r="B39" s="4" t="s">
        <v>40</v>
      </c>
      <c r="C39" s="5">
        <v>0.02</v>
      </c>
      <c r="G39" s="109"/>
      <c r="H39" s="64" t="s">
        <v>416</v>
      </c>
      <c r="I39" s="65">
        <v>0.02</v>
      </c>
    </row>
    <row r="40" spans="1:9" x14ac:dyDescent="0.3">
      <c r="A40" s="114" t="s">
        <v>47</v>
      </c>
      <c r="B40" s="4" t="s">
        <v>48</v>
      </c>
      <c r="C40" s="4"/>
      <c r="G40" s="109">
        <v>10</v>
      </c>
      <c r="H40" s="64" t="s">
        <v>46</v>
      </c>
      <c r="I40" s="63"/>
    </row>
    <row r="41" spans="1:9" x14ac:dyDescent="0.3">
      <c r="A41" s="114"/>
      <c r="B41" s="4" t="s">
        <v>49</v>
      </c>
      <c r="C41" s="5">
        <v>0.03</v>
      </c>
      <c r="G41" s="109"/>
      <c r="H41" s="64" t="s">
        <v>418</v>
      </c>
      <c r="I41" s="65">
        <v>0.04</v>
      </c>
    </row>
    <row r="42" spans="1:9" x14ac:dyDescent="0.3">
      <c r="A42" s="114"/>
      <c r="B42" s="4" t="s">
        <v>50</v>
      </c>
      <c r="C42" s="5">
        <v>0.02</v>
      </c>
      <c r="G42" s="109"/>
      <c r="H42" s="64" t="s">
        <v>419</v>
      </c>
      <c r="I42" s="65">
        <v>0.03</v>
      </c>
    </row>
    <row r="43" spans="1:9" ht="78" x14ac:dyDescent="0.3">
      <c r="A43" s="3" t="s">
        <v>51</v>
      </c>
      <c r="B43" s="4" t="s">
        <v>52</v>
      </c>
      <c r="C43" s="4" t="s">
        <v>53</v>
      </c>
      <c r="G43" s="109"/>
      <c r="H43" s="64" t="s">
        <v>416</v>
      </c>
      <c r="I43" s="65">
        <v>0.02</v>
      </c>
    </row>
    <row r="44" spans="1:9" x14ac:dyDescent="0.3">
      <c r="G44" s="109">
        <v>11</v>
      </c>
      <c r="H44" s="64" t="s">
        <v>48</v>
      </c>
      <c r="I44" s="63"/>
    </row>
    <row r="45" spans="1:9" x14ac:dyDescent="0.3">
      <c r="A45" s="115" t="s">
        <v>54</v>
      </c>
      <c r="B45" s="115"/>
      <c r="C45" s="115"/>
      <c r="G45" s="109"/>
      <c r="H45" s="64" t="s">
        <v>420</v>
      </c>
      <c r="I45" s="65">
        <v>0.03</v>
      </c>
    </row>
    <row r="46" spans="1:9" ht="26" x14ac:dyDescent="0.3">
      <c r="A46" s="2" t="s">
        <v>8</v>
      </c>
      <c r="B46" s="2" t="s">
        <v>55</v>
      </c>
      <c r="C46" s="2" t="s">
        <v>56</v>
      </c>
      <c r="G46" s="109"/>
      <c r="H46" s="64" t="s">
        <v>421</v>
      </c>
      <c r="I46" s="65">
        <v>0.02</v>
      </c>
    </row>
    <row r="47" spans="1:9" ht="26" x14ac:dyDescent="0.3">
      <c r="A47" s="114" t="s">
        <v>11</v>
      </c>
      <c r="B47" s="4" t="s">
        <v>57</v>
      </c>
      <c r="C47" s="116">
        <v>1</v>
      </c>
      <c r="G47" s="63">
        <v>12</v>
      </c>
      <c r="H47" s="64" t="s">
        <v>422</v>
      </c>
      <c r="I47" s="63" t="s">
        <v>423</v>
      </c>
    </row>
    <row r="48" spans="1:9" ht="18.5" x14ac:dyDescent="0.3">
      <c r="A48" s="114"/>
      <c r="B48" s="4" t="s">
        <v>58</v>
      </c>
      <c r="C48" s="116"/>
      <c r="G48" s="108" t="s">
        <v>67</v>
      </c>
      <c r="H48" s="110"/>
      <c r="I48" s="108"/>
    </row>
    <row r="49" spans="1:9" ht="26" x14ac:dyDescent="0.3">
      <c r="A49" s="3" t="s">
        <v>13</v>
      </c>
      <c r="B49" s="4" t="s">
        <v>59</v>
      </c>
      <c r="C49" s="5">
        <v>0.5</v>
      </c>
      <c r="G49" s="61" t="s">
        <v>8</v>
      </c>
      <c r="H49" s="62" t="s">
        <v>68</v>
      </c>
      <c r="I49" s="61" t="s">
        <v>56</v>
      </c>
    </row>
    <row r="50" spans="1:9" ht="26" x14ac:dyDescent="0.3">
      <c r="A50" s="114" t="s">
        <v>15</v>
      </c>
      <c r="B50" s="4" t="s">
        <v>60</v>
      </c>
      <c r="C50" s="116">
        <v>1</v>
      </c>
      <c r="G50" s="63">
        <v>1</v>
      </c>
      <c r="H50" s="64" t="s">
        <v>69</v>
      </c>
      <c r="I50" s="65">
        <v>1</v>
      </c>
    </row>
    <row r="51" spans="1:9" ht="26" x14ac:dyDescent="0.3">
      <c r="A51" s="114"/>
      <c r="B51" s="4" t="s">
        <v>61</v>
      </c>
      <c r="C51" s="116"/>
      <c r="G51" s="63">
        <v>2</v>
      </c>
      <c r="H51" s="64" t="s">
        <v>70</v>
      </c>
      <c r="I51" s="65">
        <v>0.5</v>
      </c>
    </row>
    <row r="52" spans="1:9" ht="26" x14ac:dyDescent="0.3">
      <c r="A52" s="3" t="s">
        <v>17</v>
      </c>
      <c r="B52" s="4" t="s">
        <v>62</v>
      </c>
      <c r="C52" s="5">
        <v>0.5</v>
      </c>
      <c r="G52" s="63">
        <v>3</v>
      </c>
      <c r="H52" s="64" t="s">
        <v>71</v>
      </c>
      <c r="I52" s="65">
        <v>0.8</v>
      </c>
    </row>
    <row r="53" spans="1:9" ht="39" x14ac:dyDescent="0.3">
      <c r="A53" s="3" t="s">
        <v>19</v>
      </c>
      <c r="B53" s="4" t="s">
        <v>63</v>
      </c>
      <c r="C53" s="5">
        <v>1</v>
      </c>
      <c r="G53" s="63">
        <v>4</v>
      </c>
      <c r="H53" s="64" t="s">
        <v>72</v>
      </c>
      <c r="I53" s="65">
        <v>0.4</v>
      </c>
    </row>
    <row r="54" spans="1:9" ht="26" x14ac:dyDescent="0.3">
      <c r="A54" s="3" t="s">
        <v>36</v>
      </c>
      <c r="B54" s="4" t="s">
        <v>64</v>
      </c>
      <c r="C54" s="5">
        <v>0.3</v>
      </c>
      <c r="G54" s="63">
        <v>5</v>
      </c>
      <c r="H54" s="64" t="s">
        <v>73</v>
      </c>
      <c r="I54" s="65">
        <v>0.4</v>
      </c>
    </row>
    <row r="55" spans="1:9" ht="26" x14ac:dyDescent="0.3">
      <c r="A55" s="3" t="s">
        <v>41</v>
      </c>
      <c r="B55" s="4" t="s">
        <v>65</v>
      </c>
      <c r="C55" s="5">
        <v>1</v>
      </c>
      <c r="G55" s="63">
        <v>6</v>
      </c>
      <c r="H55" s="64" t="s">
        <v>74</v>
      </c>
      <c r="I55" s="65">
        <v>0.2</v>
      </c>
    </row>
    <row r="56" spans="1:9" ht="26" x14ac:dyDescent="0.3">
      <c r="A56" s="3" t="s">
        <v>43</v>
      </c>
      <c r="B56" s="4" t="s">
        <v>66</v>
      </c>
      <c r="C56" s="5">
        <v>0.5</v>
      </c>
      <c r="G56" s="63">
        <v>7</v>
      </c>
      <c r="H56" s="64" t="s">
        <v>75</v>
      </c>
      <c r="I56" s="65">
        <v>0.2</v>
      </c>
    </row>
    <row r="57" spans="1:9" ht="26" x14ac:dyDescent="0.3">
      <c r="G57" s="63">
        <v>8</v>
      </c>
      <c r="H57" s="64" t="s">
        <v>76</v>
      </c>
      <c r="I57" s="65">
        <v>0.1</v>
      </c>
    </row>
    <row r="58" spans="1:9" x14ac:dyDescent="0.3">
      <c r="A58" s="115" t="s">
        <v>67</v>
      </c>
      <c r="B58" s="115"/>
      <c r="C58" s="115"/>
      <c r="G58" s="106" t="s">
        <v>424</v>
      </c>
      <c r="H58" s="107"/>
      <c r="I58" s="106"/>
    </row>
    <row r="59" spans="1:9" ht="26" x14ac:dyDescent="0.3">
      <c r="A59" s="2" t="s">
        <v>8</v>
      </c>
      <c r="B59" s="2" t="s">
        <v>68</v>
      </c>
      <c r="C59" s="2" t="s">
        <v>56</v>
      </c>
      <c r="G59" s="108" t="s">
        <v>54</v>
      </c>
      <c r="H59" s="108"/>
      <c r="I59" s="108"/>
    </row>
    <row r="60" spans="1:9" x14ac:dyDescent="0.3">
      <c r="A60" s="3" t="s">
        <v>11</v>
      </c>
      <c r="B60" s="4" t="s">
        <v>69</v>
      </c>
      <c r="C60" s="5">
        <v>1</v>
      </c>
      <c r="G60" s="66" t="s">
        <v>8</v>
      </c>
      <c r="H60" s="67" t="s">
        <v>425</v>
      </c>
      <c r="I60" s="66" t="s">
        <v>426</v>
      </c>
    </row>
    <row r="61" spans="1:9" x14ac:dyDescent="0.3">
      <c r="A61" s="3" t="s">
        <v>13</v>
      </c>
      <c r="B61" s="4" t="s">
        <v>70</v>
      </c>
      <c r="C61" s="5">
        <v>0.5</v>
      </c>
      <c r="G61" s="68" t="s">
        <v>427</v>
      </c>
      <c r="H61" s="69" t="s">
        <v>428</v>
      </c>
      <c r="I61" s="68"/>
    </row>
    <row r="62" spans="1:9" x14ac:dyDescent="0.3">
      <c r="A62" s="3" t="s">
        <v>15</v>
      </c>
      <c r="B62" s="4" t="s">
        <v>71</v>
      </c>
      <c r="C62" s="5">
        <v>0.8</v>
      </c>
      <c r="G62" s="70">
        <v>1</v>
      </c>
      <c r="H62" s="71" t="s">
        <v>429</v>
      </c>
      <c r="I62" s="72">
        <v>1</v>
      </c>
    </row>
    <row r="63" spans="1:9" x14ac:dyDescent="0.3">
      <c r="A63" s="3" t="s">
        <v>17</v>
      </c>
      <c r="B63" s="4" t="s">
        <v>72</v>
      </c>
      <c r="C63" s="5">
        <v>0.4</v>
      </c>
      <c r="G63" s="70">
        <v>2</v>
      </c>
      <c r="H63" s="71" t="s">
        <v>430</v>
      </c>
      <c r="I63" s="72">
        <v>0.5</v>
      </c>
    </row>
    <row r="64" spans="1:9" x14ac:dyDescent="0.3">
      <c r="A64" s="3" t="s">
        <v>19</v>
      </c>
      <c r="B64" s="4" t="s">
        <v>73</v>
      </c>
      <c r="C64" s="5">
        <v>0.4</v>
      </c>
      <c r="G64" s="70">
        <v>3</v>
      </c>
      <c r="H64" s="71" t="s">
        <v>431</v>
      </c>
      <c r="I64" s="72">
        <v>0.25</v>
      </c>
    </row>
    <row r="65" spans="1:9" x14ac:dyDescent="0.3">
      <c r="A65" s="3" t="s">
        <v>36</v>
      </c>
      <c r="B65" s="4" t="s">
        <v>74</v>
      </c>
      <c r="C65" s="5">
        <v>0.2</v>
      </c>
      <c r="G65" s="70">
        <v>4</v>
      </c>
      <c r="H65" s="71" t="s">
        <v>432</v>
      </c>
      <c r="I65" s="72">
        <v>0.15</v>
      </c>
    </row>
    <row r="66" spans="1:9" x14ac:dyDescent="0.3">
      <c r="A66" s="3" t="s">
        <v>41</v>
      </c>
      <c r="B66" s="4" t="s">
        <v>75</v>
      </c>
      <c r="C66" s="5">
        <v>0.2</v>
      </c>
      <c r="G66" s="68" t="s">
        <v>433</v>
      </c>
      <c r="H66" s="69" t="s">
        <v>434</v>
      </c>
      <c r="I66" s="73"/>
    </row>
    <row r="67" spans="1:9" x14ac:dyDescent="0.3">
      <c r="A67" s="3" t="s">
        <v>43</v>
      </c>
      <c r="B67" s="4" t="s">
        <v>76</v>
      </c>
      <c r="C67" s="5">
        <v>0.1</v>
      </c>
      <c r="G67" s="70">
        <v>5</v>
      </c>
      <c r="H67" s="71" t="s">
        <v>435</v>
      </c>
      <c r="I67" s="72">
        <v>0.6</v>
      </c>
    </row>
    <row r="68" spans="1:9" x14ac:dyDescent="0.3">
      <c r="A68" s="117" t="s">
        <v>89</v>
      </c>
      <c r="B68" s="117"/>
      <c r="C68" s="117"/>
      <c r="G68" s="70">
        <v>6</v>
      </c>
      <c r="H68" s="71" t="s">
        <v>436</v>
      </c>
      <c r="I68" s="72">
        <v>0.45</v>
      </c>
    </row>
    <row r="69" spans="1:9" x14ac:dyDescent="0.3">
      <c r="G69" s="70">
        <v>7</v>
      </c>
      <c r="H69" s="71" t="s">
        <v>431</v>
      </c>
      <c r="I69" s="72">
        <v>0.25</v>
      </c>
    </row>
    <row r="70" spans="1:9" x14ac:dyDescent="0.3">
      <c r="G70" s="70">
        <v>8</v>
      </c>
      <c r="H70" s="71" t="s">
        <v>432</v>
      </c>
      <c r="I70" s="72">
        <v>0.15</v>
      </c>
    </row>
    <row r="71" spans="1:9" x14ac:dyDescent="0.3">
      <c r="G71" s="68" t="s">
        <v>437</v>
      </c>
      <c r="H71" s="69" t="s">
        <v>438</v>
      </c>
      <c r="I71" s="68"/>
    </row>
    <row r="72" spans="1:9" x14ac:dyDescent="0.3">
      <c r="A72" s="78"/>
      <c r="B72" s="78"/>
      <c r="C72" s="78"/>
      <c r="G72" s="70">
        <v>9</v>
      </c>
      <c r="H72" s="71" t="s">
        <v>435</v>
      </c>
      <c r="I72" s="72">
        <v>0.45</v>
      </c>
    </row>
    <row r="73" spans="1:9" x14ac:dyDescent="0.3">
      <c r="A73" s="78"/>
      <c r="B73" s="78"/>
      <c r="C73" s="78"/>
      <c r="G73" s="70">
        <v>10</v>
      </c>
      <c r="H73" s="71" t="s">
        <v>436</v>
      </c>
      <c r="I73" s="72">
        <v>0.35</v>
      </c>
    </row>
    <row r="74" spans="1:9" x14ac:dyDescent="0.3">
      <c r="A74" s="78"/>
      <c r="B74" s="78"/>
      <c r="C74" s="78"/>
      <c r="G74" s="70">
        <v>11</v>
      </c>
      <c r="H74" s="71" t="s">
        <v>431</v>
      </c>
      <c r="I74" s="72">
        <v>0.2</v>
      </c>
    </row>
    <row r="75" spans="1:9" x14ac:dyDescent="0.3">
      <c r="A75" s="78"/>
      <c r="B75" s="78"/>
      <c r="C75" s="78"/>
      <c r="G75" s="70">
        <v>12</v>
      </c>
      <c r="H75" s="71" t="s">
        <v>432</v>
      </c>
      <c r="I75" s="72">
        <v>0.15</v>
      </c>
    </row>
    <row r="76" spans="1:9" x14ac:dyDescent="0.3">
      <c r="A76" s="78"/>
      <c r="B76" s="78"/>
      <c r="C76" s="78"/>
      <c r="G76" s="68" t="s">
        <v>439</v>
      </c>
      <c r="H76" s="69" t="s">
        <v>440</v>
      </c>
      <c r="I76" s="68"/>
    </row>
    <row r="77" spans="1:9" x14ac:dyDescent="0.3">
      <c r="A77" s="78"/>
      <c r="B77" s="78"/>
      <c r="C77" s="78"/>
      <c r="G77" s="70">
        <v>13</v>
      </c>
      <c r="H77" s="71" t="s">
        <v>441</v>
      </c>
      <c r="I77" s="72">
        <v>0.25</v>
      </c>
    </row>
    <row r="78" spans="1:9" x14ac:dyDescent="0.3">
      <c r="A78" s="78"/>
      <c r="B78" s="78"/>
      <c r="C78" s="78"/>
      <c r="G78" s="70">
        <v>14</v>
      </c>
      <c r="H78" s="71" t="s">
        <v>442</v>
      </c>
      <c r="I78" s="72">
        <v>0.1</v>
      </c>
    </row>
    <row r="79" spans="1:9" x14ac:dyDescent="0.3">
      <c r="A79" s="78"/>
      <c r="B79" s="78"/>
      <c r="C79" s="78"/>
      <c r="G79" s="68" t="s">
        <v>443</v>
      </c>
      <c r="H79" s="69" t="s">
        <v>444</v>
      </c>
      <c r="I79" s="68"/>
    </row>
    <row r="80" spans="1:9" x14ac:dyDescent="0.3">
      <c r="A80" s="78"/>
      <c r="B80" s="78"/>
      <c r="C80" s="78"/>
      <c r="G80" s="70">
        <v>15</v>
      </c>
      <c r="H80" s="71" t="s">
        <v>445</v>
      </c>
      <c r="I80" s="72">
        <v>0.6</v>
      </c>
    </row>
    <row r="81" spans="7:9" x14ac:dyDescent="0.3">
      <c r="G81" s="70">
        <v>16</v>
      </c>
      <c r="H81" s="71" t="s">
        <v>446</v>
      </c>
      <c r="I81" s="72">
        <v>0.2</v>
      </c>
    </row>
    <row r="82" spans="7:9" x14ac:dyDescent="0.3">
      <c r="G82" s="68" t="s">
        <v>447</v>
      </c>
      <c r="H82" s="69" t="s">
        <v>448</v>
      </c>
      <c r="I82" s="68"/>
    </row>
    <row r="83" spans="7:9" x14ac:dyDescent="0.3">
      <c r="G83" s="70">
        <v>17</v>
      </c>
      <c r="H83" s="71" t="s">
        <v>449</v>
      </c>
      <c r="I83" s="72">
        <v>0.3</v>
      </c>
    </row>
    <row r="84" spans="7:9" x14ac:dyDescent="0.3">
      <c r="G84" s="70">
        <v>18</v>
      </c>
      <c r="H84" s="71" t="s">
        <v>450</v>
      </c>
      <c r="I84" s="72">
        <v>0.1</v>
      </c>
    </row>
    <row r="85" spans="7:9" x14ac:dyDescent="0.3">
      <c r="G85" s="68" t="s">
        <v>451</v>
      </c>
      <c r="H85" s="69" t="s">
        <v>452</v>
      </c>
      <c r="I85" s="68"/>
    </row>
    <row r="86" spans="7:9" x14ac:dyDescent="0.3">
      <c r="G86" s="70">
        <v>19</v>
      </c>
      <c r="H86" s="71" t="s">
        <v>453</v>
      </c>
      <c r="I86" s="72">
        <v>0.4</v>
      </c>
    </row>
    <row r="87" spans="7:9" x14ac:dyDescent="0.3">
      <c r="G87" s="70">
        <v>20</v>
      </c>
      <c r="H87" s="71" t="s">
        <v>454</v>
      </c>
      <c r="I87" s="72">
        <v>0.4</v>
      </c>
    </row>
    <row r="88" spans="7:9" x14ac:dyDescent="0.3">
      <c r="G88" s="70">
        <v>21</v>
      </c>
      <c r="H88" s="71" t="s">
        <v>455</v>
      </c>
      <c r="I88" s="72">
        <v>0.4</v>
      </c>
    </row>
    <row r="89" spans="7:9" x14ac:dyDescent="0.3">
      <c r="G89" s="70">
        <v>22</v>
      </c>
      <c r="H89" s="71" t="s">
        <v>456</v>
      </c>
      <c r="I89" s="72">
        <v>0.15</v>
      </c>
    </row>
    <row r="90" spans="7:9" x14ac:dyDescent="0.3">
      <c r="G90" s="68" t="s">
        <v>457</v>
      </c>
      <c r="H90" s="69" t="s">
        <v>458</v>
      </c>
      <c r="I90" s="68"/>
    </row>
    <row r="91" spans="7:9" x14ac:dyDescent="0.3">
      <c r="G91" s="70">
        <v>23</v>
      </c>
      <c r="H91" s="71" t="s">
        <v>441</v>
      </c>
      <c r="I91" s="72">
        <v>0.25</v>
      </c>
    </row>
    <row r="92" spans="7:9" x14ac:dyDescent="0.3">
      <c r="G92" s="70">
        <v>24</v>
      </c>
      <c r="H92" s="71" t="s">
        <v>442</v>
      </c>
      <c r="I92" s="72">
        <v>0.1</v>
      </c>
    </row>
    <row r="93" spans="7:9" x14ac:dyDescent="0.3">
      <c r="G93" s="68" t="s">
        <v>11</v>
      </c>
      <c r="H93" s="69" t="s">
        <v>459</v>
      </c>
      <c r="I93" s="73"/>
    </row>
    <row r="94" spans="7:9" x14ac:dyDescent="0.3">
      <c r="G94" s="70">
        <v>25</v>
      </c>
      <c r="H94" s="71" t="s">
        <v>435</v>
      </c>
      <c r="I94" s="72">
        <v>0.15</v>
      </c>
    </row>
    <row r="95" spans="7:9" x14ac:dyDescent="0.3">
      <c r="G95" s="70">
        <v>26</v>
      </c>
      <c r="H95" s="71" t="s">
        <v>436</v>
      </c>
      <c r="I95" s="72">
        <v>0.12</v>
      </c>
    </row>
    <row r="96" spans="7:9" x14ac:dyDescent="0.3">
      <c r="G96" s="70">
        <v>27</v>
      </c>
      <c r="H96" s="71" t="s">
        <v>431</v>
      </c>
      <c r="I96" s="72">
        <v>0.04</v>
      </c>
    </row>
    <row r="97" spans="7:9" x14ac:dyDescent="0.3">
      <c r="G97" s="70">
        <v>28</v>
      </c>
      <c r="H97" s="71" t="s">
        <v>432</v>
      </c>
      <c r="I97" s="72">
        <v>0.02</v>
      </c>
    </row>
    <row r="98" spans="7:9" x14ac:dyDescent="0.3">
      <c r="G98" s="68" t="s">
        <v>460</v>
      </c>
      <c r="H98" s="69" t="s">
        <v>461</v>
      </c>
      <c r="I98" s="74"/>
    </row>
    <row r="99" spans="7:9" x14ac:dyDescent="0.3">
      <c r="G99" s="70">
        <v>29</v>
      </c>
      <c r="H99" s="71" t="s">
        <v>462</v>
      </c>
      <c r="I99" s="72">
        <v>0.35</v>
      </c>
    </row>
    <row r="100" spans="7:9" x14ac:dyDescent="0.3">
      <c r="G100" s="70">
        <v>30</v>
      </c>
      <c r="H100" s="71" t="s">
        <v>463</v>
      </c>
      <c r="I100" s="72">
        <v>0.35</v>
      </c>
    </row>
    <row r="101" spans="7:9" x14ac:dyDescent="0.3">
      <c r="G101" s="70">
        <v>31</v>
      </c>
      <c r="H101" s="71" t="s">
        <v>464</v>
      </c>
      <c r="I101" s="72">
        <v>0.25</v>
      </c>
    </row>
    <row r="102" spans="7:9" x14ac:dyDescent="0.3">
      <c r="G102" s="70">
        <v>32</v>
      </c>
      <c r="H102" s="71" t="s">
        <v>465</v>
      </c>
      <c r="I102" s="72">
        <v>0.2</v>
      </c>
    </row>
    <row r="103" spans="7:9" x14ac:dyDescent="0.3">
      <c r="G103" s="70">
        <v>33</v>
      </c>
      <c r="H103" s="71" t="s">
        <v>466</v>
      </c>
      <c r="I103" s="72">
        <v>0.15</v>
      </c>
    </row>
    <row r="104" spans="7:9" x14ac:dyDescent="0.3">
      <c r="G104" s="70">
        <v>34</v>
      </c>
      <c r="H104" s="71" t="s">
        <v>467</v>
      </c>
      <c r="I104" s="72">
        <v>0.15</v>
      </c>
    </row>
    <row r="105" spans="7:9" x14ac:dyDescent="0.3">
      <c r="G105" s="70">
        <v>35</v>
      </c>
      <c r="H105" s="71" t="s">
        <v>468</v>
      </c>
      <c r="I105" s="72">
        <v>0.1</v>
      </c>
    </row>
    <row r="106" spans="7:9" x14ac:dyDescent="0.3">
      <c r="G106" s="70">
        <v>36</v>
      </c>
      <c r="H106" s="71" t="s">
        <v>469</v>
      </c>
      <c r="I106" s="72">
        <v>0.1</v>
      </c>
    </row>
    <row r="107" spans="7:9" x14ac:dyDescent="0.3">
      <c r="G107" s="70">
        <v>37</v>
      </c>
      <c r="H107" s="71" t="s">
        <v>470</v>
      </c>
      <c r="I107" s="72">
        <v>0.1</v>
      </c>
    </row>
    <row r="108" spans="7:9" x14ac:dyDescent="0.3">
      <c r="G108" s="70">
        <v>38</v>
      </c>
      <c r="H108" s="71" t="s">
        <v>471</v>
      </c>
      <c r="I108" s="72">
        <v>0.05</v>
      </c>
    </row>
    <row r="109" spans="7:9" x14ac:dyDescent="0.3">
      <c r="G109" s="70">
        <v>39</v>
      </c>
      <c r="H109" s="71" t="s">
        <v>472</v>
      </c>
      <c r="I109" s="72">
        <v>0.05</v>
      </c>
    </row>
    <row r="110" spans="7:9" x14ac:dyDescent="0.3">
      <c r="G110" s="70">
        <v>40</v>
      </c>
      <c r="H110" s="71" t="s">
        <v>473</v>
      </c>
      <c r="I110" s="72">
        <v>0.05</v>
      </c>
    </row>
    <row r="111" spans="7:9" x14ac:dyDescent="0.3">
      <c r="G111" s="68" t="s">
        <v>474</v>
      </c>
      <c r="H111" s="69" t="s">
        <v>475</v>
      </c>
      <c r="I111" s="68"/>
    </row>
    <row r="112" spans="7:9" x14ac:dyDescent="0.3">
      <c r="G112" s="70">
        <v>41</v>
      </c>
      <c r="H112" s="71" t="s">
        <v>476</v>
      </c>
      <c r="I112" s="72">
        <v>0.25</v>
      </c>
    </row>
    <row r="113" spans="7:9" x14ac:dyDescent="0.3">
      <c r="G113" s="75">
        <v>42</v>
      </c>
      <c r="H113" s="76" t="s">
        <v>477</v>
      </c>
      <c r="I113" s="77">
        <v>0.25</v>
      </c>
    </row>
  </sheetData>
  <mergeCells count="29">
    <mergeCell ref="A50:A51"/>
    <mergeCell ref="C50:C51"/>
    <mergeCell ref="A58:C58"/>
    <mergeCell ref="A68:C68"/>
    <mergeCell ref="A28:A31"/>
    <mergeCell ref="A32:A35"/>
    <mergeCell ref="A36:A39"/>
    <mergeCell ref="A40:A42"/>
    <mergeCell ref="A45:C45"/>
    <mergeCell ref="A47:A48"/>
    <mergeCell ref="C47:C48"/>
    <mergeCell ref="A24:A27"/>
    <mergeCell ref="A1:C1"/>
    <mergeCell ref="A9:C9"/>
    <mergeCell ref="A11:A13"/>
    <mergeCell ref="A14:A18"/>
    <mergeCell ref="A21:A23"/>
    <mergeCell ref="G1:I1"/>
    <mergeCell ref="G11:I11"/>
    <mergeCell ref="G13:G20"/>
    <mergeCell ref="G25:G27"/>
    <mergeCell ref="G28:G31"/>
    <mergeCell ref="G58:I58"/>
    <mergeCell ref="G59:I59"/>
    <mergeCell ref="G32:G35"/>
    <mergeCell ref="G36:G39"/>
    <mergeCell ref="G40:G43"/>
    <mergeCell ref="G44:G46"/>
    <mergeCell ref="G48:I48"/>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A20509-38F1-490E-8A4C-0B1C2A8CB428}">
  <dimension ref="A1:X124"/>
  <sheetViews>
    <sheetView topLeftCell="A107" zoomScale="71" workbookViewId="0">
      <selection activeCell="D62" sqref="D62"/>
    </sheetView>
  </sheetViews>
  <sheetFormatPr defaultRowHeight="13" x14ac:dyDescent="0.3"/>
  <cols>
    <col min="1" max="1" width="5.1796875" style="49" bestFit="1" customWidth="1"/>
    <col min="2" max="2" width="30.1796875" style="49" customWidth="1"/>
    <col min="3" max="3" width="28.1796875" style="49" customWidth="1"/>
    <col min="4" max="4" width="27.26953125" style="49" customWidth="1"/>
    <col min="5" max="5" width="34.1796875" style="49" customWidth="1"/>
    <col min="6" max="8" width="8.7265625" style="49"/>
    <col min="9" max="9" width="11.7265625" style="49" customWidth="1"/>
    <col min="10" max="10" width="32.7265625" style="49" customWidth="1"/>
    <col min="11" max="17" width="8.7265625" style="49"/>
    <col min="18" max="18" width="6.7265625" style="49" bestFit="1" customWidth="1"/>
    <col min="19" max="19" width="54.36328125" style="49" bestFit="1" customWidth="1"/>
    <col min="20" max="20" width="4.08984375" style="49" bestFit="1" customWidth="1"/>
    <col min="21" max="23" width="5.08984375" style="49" bestFit="1" customWidth="1"/>
    <col min="24" max="24" width="8.36328125" style="49" bestFit="1" customWidth="1"/>
    <col min="25" max="16384" width="8.7265625" style="49"/>
  </cols>
  <sheetData>
    <row r="1" spans="1:5" x14ac:dyDescent="0.3">
      <c r="A1" s="144" t="s">
        <v>106</v>
      </c>
      <c r="B1" s="144"/>
      <c r="C1" s="144"/>
      <c r="D1" s="144"/>
      <c r="E1" s="144"/>
    </row>
    <row r="2" spans="1:5" x14ac:dyDescent="0.3">
      <c r="A2" s="98" t="s">
        <v>223</v>
      </c>
      <c r="B2" s="98" t="s">
        <v>224</v>
      </c>
      <c r="C2" s="98" t="s">
        <v>225</v>
      </c>
      <c r="D2" s="98" t="s">
        <v>226</v>
      </c>
      <c r="E2" s="98" t="s">
        <v>227</v>
      </c>
    </row>
    <row r="3" spans="1:5" x14ac:dyDescent="0.3">
      <c r="A3" s="99" t="s">
        <v>107</v>
      </c>
      <c r="B3" s="100" t="s">
        <v>108</v>
      </c>
      <c r="C3" s="100" t="s">
        <v>109</v>
      </c>
      <c r="D3" s="100" t="s">
        <v>110</v>
      </c>
      <c r="E3" s="100" t="s">
        <v>111</v>
      </c>
    </row>
    <row r="4" spans="1:5" ht="26" x14ac:dyDescent="0.3">
      <c r="A4" s="101" t="s">
        <v>112</v>
      </c>
      <c r="B4" s="102" t="s">
        <v>113</v>
      </c>
      <c r="C4" s="102" t="s">
        <v>114</v>
      </c>
      <c r="D4" s="103" t="s">
        <v>115</v>
      </c>
      <c r="E4" s="103" t="s">
        <v>116</v>
      </c>
    </row>
    <row r="5" spans="1:5" ht="26" x14ac:dyDescent="0.3">
      <c r="A5" s="101"/>
      <c r="B5" s="102" t="s">
        <v>117</v>
      </c>
      <c r="C5" s="102" t="s">
        <v>118</v>
      </c>
      <c r="D5" s="103" t="s">
        <v>119</v>
      </c>
      <c r="E5" s="103" t="s">
        <v>120</v>
      </c>
    </row>
    <row r="6" spans="1:5" ht="26" x14ac:dyDescent="0.3">
      <c r="A6" s="101"/>
      <c r="B6" s="102" t="s">
        <v>121</v>
      </c>
      <c r="C6" s="102" t="s">
        <v>122</v>
      </c>
      <c r="D6" s="103" t="s">
        <v>123</v>
      </c>
      <c r="E6" s="103" t="s">
        <v>124</v>
      </c>
    </row>
    <row r="7" spans="1:5" ht="26" x14ac:dyDescent="0.3">
      <c r="A7" s="101"/>
      <c r="B7" s="102" t="s">
        <v>114</v>
      </c>
      <c r="C7" s="102" t="s">
        <v>125</v>
      </c>
      <c r="D7" s="103" t="s">
        <v>126</v>
      </c>
      <c r="E7" s="103" t="s">
        <v>127</v>
      </c>
    </row>
    <row r="8" spans="1:5" ht="26" x14ac:dyDescent="0.3">
      <c r="A8" s="101"/>
      <c r="B8" s="101"/>
      <c r="C8" s="102" t="s">
        <v>128</v>
      </c>
      <c r="D8" s="103" t="s">
        <v>129</v>
      </c>
      <c r="E8" s="103" t="s">
        <v>130</v>
      </c>
    </row>
    <row r="9" spans="1:5" ht="26" x14ac:dyDescent="0.3">
      <c r="A9" s="101"/>
      <c r="B9" s="101"/>
      <c r="C9" s="102" t="s">
        <v>131</v>
      </c>
      <c r="D9" s="103" t="s">
        <v>132</v>
      </c>
      <c r="E9" s="103" t="s">
        <v>133</v>
      </c>
    </row>
    <row r="10" spans="1:5" ht="26" x14ac:dyDescent="0.3">
      <c r="A10" s="101"/>
      <c r="B10" s="101"/>
      <c r="C10" s="102" t="s">
        <v>134</v>
      </c>
      <c r="D10" s="103" t="s">
        <v>135</v>
      </c>
      <c r="E10" s="103" t="s">
        <v>136</v>
      </c>
    </row>
    <row r="11" spans="1:5" ht="26" x14ac:dyDescent="0.3">
      <c r="A11" s="101"/>
      <c r="B11" s="101"/>
      <c r="C11" s="102" t="s">
        <v>137</v>
      </c>
      <c r="D11" s="103" t="s">
        <v>138</v>
      </c>
      <c r="E11" s="103" t="s">
        <v>139</v>
      </c>
    </row>
    <row r="12" spans="1:5" x14ac:dyDescent="0.3">
      <c r="A12" s="101"/>
      <c r="B12" s="101"/>
      <c r="C12" s="102" t="s">
        <v>140</v>
      </c>
      <c r="D12" s="103" t="s">
        <v>141</v>
      </c>
      <c r="E12" s="103" t="s">
        <v>142</v>
      </c>
    </row>
    <row r="13" spans="1:5" x14ac:dyDescent="0.3">
      <c r="A13" s="101"/>
      <c r="B13" s="101"/>
      <c r="C13" s="102" t="s">
        <v>143</v>
      </c>
      <c r="D13" s="103" t="s">
        <v>144</v>
      </c>
      <c r="E13" s="103" t="s">
        <v>145</v>
      </c>
    </row>
    <row r="14" spans="1:5" x14ac:dyDescent="0.3">
      <c r="A14" s="101"/>
      <c r="B14" s="101"/>
      <c r="C14" s="102" t="s">
        <v>146</v>
      </c>
      <c r="D14" s="103" t="s">
        <v>147</v>
      </c>
      <c r="E14" s="103" t="s">
        <v>148</v>
      </c>
    </row>
    <row r="15" spans="1:5" x14ac:dyDescent="0.3">
      <c r="A15" s="101"/>
      <c r="B15" s="101"/>
      <c r="C15" s="102" t="s">
        <v>149</v>
      </c>
      <c r="D15" s="103" t="s">
        <v>150</v>
      </c>
      <c r="E15" s="103" t="s">
        <v>151</v>
      </c>
    </row>
    <row r="16" spans="1:5" x14ac:dyDescent="0.3">
      <c r="A16" s="101"/>
      <c r="B16" s="101"/>
      <c r="C16" s="102" t="s">
        <v>152</v>
      </c>
      <c r="D16" s="103" t="s">
        <v>153</v>
      </c>
      <c r="E16" s="103" t="s">
        <v>154</v>
      </c>
    </row>
    <row r="17" spans="1:5" ht="26" x14ac:dyDescent="0.3">
      <c r="A17" s="101"/>
      <c r="B17" s="101"/>
      <c r="C17" s="102" t="s">
        <v>155</v>
      </c>
      <c r="D17" s="103" t="s">
        <v>156</v>
      </c>
      <c r="E17" s="103" t="s">
        <v>157</v>
      </c>
    </row>
    <row r="18" spans="1:5" x14ac:dyDescent="0.3">
      <c r="A18" s="101"/>
      <c r="B18" s="101"/>
      <c r="C18" s="102" t="s">
        <v>158</v>
      </c>
      <c r="D18" s="103" t="s">
        <v>159</v>
      </c>
      <c r="E18" s="103" t="s">
        <v>160</v>
      </c>
    </row>
    <row r="19" spans="1:5" x14ac:dyDescent="0.3">
      <c r="A19" s="101"/>
      <c r="B19" s="101"/>
      <c r="C19" s="102" t="s">
        <v>161</v>
      </c>
      <c r="D19" s="103" t="s">
        <v>162</v>
      </c>
      <c r="E19" s="103" t="s">
        <v>163</v>
      </c>
    </row>
    <row r="20" spans="1:5" x14ac:dyDescent="0.3">
      <c r="A20" s="101"/>
      <c r="B20" s="101"/>
      <c r="C20" s="101"/>
      <c r="D20" s="103" t="s">
        <v>164</v>
      </c>
      <c r="E20" s="103" t="s">
        <v>165</v>
      </c>
    </row>
    <row r="21" spans="1:5" x14ac:dyDescent="0.3">
      <c r="A21" s="101"/>
      <c r="B21" s="101"/>
      <c r="C21" s="101"/>
      <c r="D21" s="103" t="s">
        <v>166</v>
      </c>
      <c r="E21" s="103" t="s">
        <v>167</v>
      </c>
    </row>
    <row r="22" spans="1:5" x14ac:dyDescent="0.3">
      <c r="A22" s="101"/>
      <c r="B22" s="101"/>
      <c r="C22" s="101"/>
      <c r="D22" s="103" t="s">
        <v>168</v>
      </c>
      <c r="E22" s="103" t="s">
        <v>169</v>
      </c>
    </row>
    <row r="23" spans="1:5" ht="26" x14ac:dyDescent="0.3">
      <c r="A23" s="101"/>
      <c r="B23" s="101"/>
      <c r="C23" s="101"/>
      <c r="D23" s="103" t="s">
        <v>170</v>
      </c>
      <c r="E23" s="103" t="s">
        <v>171</v>
      </c>
    </row>
    <row r="24" spans="1:5" ht="26" x14ac:dyDescent="0.3">
      <c r="A24" s="101"/>
      <c r="B24" s="101"/>
      <c r="C24" s="101"/>
      <c r="D24" s="103" t="s">
        <v>172</v>
      </c>
      <c r="E24" s="103" t="s">
        <v>173</v>
      </c>
    </row>
    <row r="25" spans="1:5" x14ac:dyDescent="0.3">
      <c r="A25" s="101"/>
      <c r="B25" s="101"/>
      <c r="C25" s="101"/>
      <c r="D25" s="103" t="s">
        <v>174</v>
      </c>
      <c r="E25" s="103" t="s">
        <v>175</v>
      </c>
    </row>
    <row r="26" spans="1:5" x14ac:dyDescent="0.3">
      <c r="A26" s="101"/>
      <c r="B26" s="101"/>
      <c r="C26" s="101"/>
      <c r="D26" s="103" t="s">
        <v>176</v>
      </c>
      <c r="E26" s="103" t="s">
        <v>177</v>
      </c>
    </row>
    <row r="27" spans="1:5" x14ac:dyDescent="0.3">
      <c r="A27" s="101"/>
      <c r="B27" s="101"/>
      <c r="C27" s="101"/>
      <c r="D27" s="103" t="s">
        <v>178</v>
      </c>
      <c r="E27" s="103" t="s">
        <v>179</v>
      </c>
    </row>
    <row r="28" spans="1:5" x14ac:dyDescent="0.3">
      <c r="A28" s="101"/>
      <c r="B28" s="101"/>
      <c r="C28" s="101"/>
      <c r="D28" s="103" t="s">
        <v>180</v>
      </c>
      <c r="E28" s="103" t="s">
        <v>181</v>
      </c>
    </row>
    <row r="29" spans="1:5" ht="26" x14ac:dyDescent="0.3">
      <c r="A29" s="101"/>
      <c r="B29" s="101"/>
      <c r="C29" s="101"/>
      <c r="D29" s="103" t="s">
        <v>182</v>
      </c>
      <c r="E29" s="103" t="s">
        <v>183</v>
      </c>
    </row>
    <row r="30" spans="1:5" x14ac:dyDescent="0.3">
      <c r="A30" s="101"/>
      <c r="B30" s="101"/>
      <c r="C30" s="101"/>
      <c r="D30" s="103" t="s">
        <v>184</v>
      </c>
      <c r="E30" s="103" t="s">
        <v>185</v>
      </c>
    </row>
    <row r="31" spans="1:5" ht="26" x14ac:dyDescent="0.3">
      <c r="A31" s="101"/>
      <c r="B31" s="101"/>
      <c r="C31" s="101"/>
      <c r="D31" s="103" t="s">
        <v>186</v>
      </c>
      <c r="E31" s="103" t="s">
        <v>187</v>
      </c>
    </row>
    <row r="32" spans="1:5" x14ac:dyDescent="0.3">
      <c r="A32" s="101"/>
      <c r="B32" s="101"/>
      <c r="C32" s="101"/>
      <c r="D32" s="103" t="s">
        <v>188</v>
      </c>
      <c r="E32" s="103" t="s">
        <v>189</v>
      </c>
    </row>
    <row r="33" spans="1:5" x14ac:dyDescent="0.3">
      <c r="A33" s="101"/>
      <c r="B33" s="101"/>
      <c r="C33" s="101"/>
      <c r="D33" s="103" t="s">
        <v>190</v>
      </c>
      <c r="E33" s="103" t="s">
        <v>191</v>
      </c>
    </row>
    <row r="34" spans="1:5" x14ac:dyDescent="0.3">
      <c r="A34" s="101"/>
      <c r="B34" s="101"/>
      <c r="C34" s="101"/>
      <c r="D34" s="103" t="s">
        <v>192</v>
      </c>
      <c r="E34" s="103" t="s">
        <v>193</v>
      </c>
    </row>
    <row r="35" spans="1:5" x14ac:dyDescent="0.3">
      <c r="A35" s="101"/>
      <c r="B35" s="101"/>
      <c r="C35" s="101"/>
      <c r="D35" s="103" t="s">
        <v>194</v>
      </c>
      <c r="E35" s="103" t="s">
        <v>195</v>
      </c>
    </row>
    <row r="36" spans="1:5" x14ac:dyDescent="0.3">
      <c r="A36" s="104"/>
      <c r="B36" s="104"/>
      <c r="C36" s="104"/>
      <c r="D36" s="104"/>
      <c r="E36" s="103" t="s">
        <v>196</v>
      </c>
    </row>
    <row r="37" spans="1:5" x14ac:dyDescent="0.3">
      <c r="A37" s="104"/>
      <c r="B37" s="104"/>
      <c r="C37" s="104"/>
      <c r="D37" s="104"/>
      <c r="E37" s="103" t="s">
        <v>197</v>
      </c>
    </row>
    <row r="38" spans="1:5" x14ac:dyDescent="0.3">
      <c r="A38" s="104"/>
      <c r="B38" s="104"/>
      <c r="C38" s="104"/>
      <c r="D38" s="104"/>
      <c r="E38" s="103" t="s">
        <v>198</v>
      </c>
    </row>
    <row r="39" spans="1:5" x14ac:dyDescent="0.3">
      <c r="A39" s="104"/>
      <c r="B39" s="104"/>
      <c r="C39" s="104"/>
      <c r="D39" s="104"/>
      <c r="E39" s="103" t="s">
        <v>199</v>
      </c>
    </row>
    <row r="40" spans="1:5" x14ac:dyDescent="0.3">
      <c r="A40" s="104"/>
      <c r="B40" s="104"/>
      <c r="C40" s="104"/>
      <c r="D40" s="104"/>
      <c r="E40" s="103" t="s">
        <v>200</v>
      </c>
    </row>
    <row r="41" spans="1:5" x14ac:dyDescent="0.3">
      <c r="A41" s="104"/>
      <c r="B41" s="104"/>
      <c r="C41" s="104"/>
      <c r="D41" s="104"/>
      <c r="E41" s="103" t="s">
        <v>201</v>
      </c>
    </row>
    <row r="42" spans="1:5" x14ac:dyDescent="0.3">
      <c r="A42" s="104"/>
      <c r="B42" s="104"/>
      <c r="C42" s="104"/>
      <c r="D42" s="104"/>
      <c r="E42" s="103" t="s">
        <v>202</v>
      </c>
    </row>
    <row r="43" spans="1:5" x14ac:dyDescent="0.3">
      <c r="A43" s="104"/>
      <c r="B43" s="104"/>
      <c r="C43" s="104"/>
      <c r="D43" s="104"/>
      <c r="E43" s="103" t="s">
        <v>203</v>
      </c>
    </row>
    <row r="44" spans="1:5" x14ac:dyDescent="0.3">
      <c r="A44" s="104"/>
      <c r="B44" s="104"/>
      <c r="C44" s="104"/>
      <c r="D44" s="104"/>
      <c r="E44" s="103" t="s">
        <v>204</v>
      </c>
    </row>
    <row r="45" spans="1:5" x14ac:dyDescent="0.3">
      <c r="A45" s="104"/>
      <c r="B45" s="104"/>
      <c r="C45" s="104"/>
      <c r="D45" s="104"/>
      <c r="E45" s="103" t="s">
        <v>205</v>
      </c>
    </row>
    <row r="46" spans="1:5" x14ac:dyDescent="0.3">
      <c r="A46" s="104"/>
      <c r="B46" s="104"/>
      <c r="C46" s="104"/>
      <c r="D46" s="104"/>
      <c r="E46" s="103" t="s">
        <v>206</v>
      </c>
    </row>
    <row r="47" spans="1:5" x14ac:dyDescent="0.3">
      <c r="A47" s="104"/>
      <c r="B47" s="104"/>
      <c r="C47" s="104"/>
      <c r="D47" s="104"/>
      <c r="E47" s="103" t="s">
        <v>207</v>
      </c>
    </row>
    <row r="48" spans="1:5" x14ac:dyDescent="0.3">
      <c r="A48" s="104"/>
      <c r="B48" s="104"/>
      <c r="C48" s="104"/>
      <c r="D48" s="104"/>
      <c r="E48" s="103" t="s">
        <v>208</v>
      </c>
    </row>
    <row r="49" spans="1:24" x14ac:dyDescent="0.3">
      <c r="A49" s="104"/>
      <c r="B49" s="104"/>
      <c r="C49" s="104"/>
      <c r="D49" s="104"/>
      <c r="E49" s="103" t="s">
        <v>209</v>
      </c>
    </row>
    <row r="50" spans="1:24" x14ac:dyDescent="0.3">
      <c r="A50" s="104"/>
      <c r="B50" s="104"/>
      <c r="C50" s="104"/>
      <c r="D50" s="104"/>
      <c r="E50" s="103" t="s">
        <v>210</v>
      </c>
    </row>
    <row r="51" spans="1:24" ht="26" x14ac:dyDescent="0.3">
      <c r="A51" s="104"/>
      <c r="B51" s="104"/>
      <c r="C51" s="104"/>
      <c r="D51" s="104"/>
      <c r="E51" s="103" t="s">
        <v>211</v>
      </c>
    </row>
    <row r="55" spans="1:24" ht="13" customHeight="1" x14ac:dyDescent="0.3"/>
    <row r="56" spans="1:24" ht="43.5" x14ac:dyDescent="0.3">
      <c r="A56" s="149" t="s">
        <v>214</v>
      </c>
      <c r="B56" s="87" t="s">
        <v>489</v>
      </c>
      <c r="C56" s="87" t="s">
        <v>490</v>
      </c>
      <c r="D56" s="87" t="s">
        <v>491</v>
      </c>
      <c r="E56" s="87" t="s">
        <v>492</v>
      </c>
      <c r="F56" s="87" t="s">
        <v>493</v>
      </c>
      <c r="G56" s="87" t="s">
        <v>494</v>
      </c>
      <c r="H56" s="87" t="s">
        <v>495</v>
      </c>
      <c r="I56" s="88" t="s">
        <v>496</v>
      </c>
      <c r="T56" s="147" t="s">
        <v>562</v>
      </c>
      <c r="U56" s="147"/>
      <c r="V56" s="147"/>
      <c r="W56" s="147"/>
    </row>
    <row r="57" spans="1:24" ht="14.5" x14ac:dyDescent="0.3">
      <c r="A57" s="150"/>
      <c r="B57" s="89"/>
      <c r="C57" s="89" t="s">
        <v>223</v>
      </c>
      <c r="D57" s="89" t="s">
        <v>497</v>
      </c>
      <c r="E57" s="89" t="s">
        <v>225</v>
      </c>
      <c r="F57" s="89" t="s">
        <v>226</v>
      </c>
      <c r="G57" s="89" t="s">
        <v>227</v>
      </c>
      <c r="H57" s="89" t="s">
        <v>498</v>
      </c>
      <c r="I57" s="90" t="s">
        <v>499</v>
      </c>
      <c r="K57" s="49" t="s">
        <v>571</v>
      </c>
      <c r="L57" s="145" t="s">
        <v>557</v>
      </c>
      <c r="M57" s="145" t="s">
        <v>558</v>
      </c>
      <c r="N57" s="145" t="s">
        <v>559</v>
      </c>
      <c r="O57" s="145" t="s">
        <v>560</v>
      </c>
      <c r="R57" s="145" t="s">
        <v>555</v>
      </c>
      <c r="S57" s="145" t="s">
        <v>556</v>
      </c>
      <c r="T57" s="145" t="s">
        <v>557</v>
      </c>
      <c r="U57" s="145" t="s">
        <v>558</v>
      </c>
      <c r="V57" s="145" t="s">
        <v>559</v>
      </c>
      <c r="W57" s="145" t="s">
        <v>560</v>
      </c>
    </row>
    <row r="58" spans="1:24" ht="29" x14ac:dyDescent="0.3">
      <c r="A58" s="151">
        <v>1</v>
      </c>
      <c r="B58" s="91" t="s">
        <v>500</v>
      </c>
      <c r="C58" s="91" t="s">
        <v>501</v>
      </c>
      <c r="D58" s="91" t="s">
        <v>501</v>
      </c>
      <c r="E58" s="91" t="s">
        <v>501</v>
      </c>
      <c r="F58" s="91" t="s">
        <v>501</v>
      </c>
      <c r="G58" s="91" t="s">
        <v>501</v>
      </c>
      <c r="H58" s="91" t="s">
        <v>501</v>
      </c>
      <c r="I58" s="92" t="s">
        <v>501</v>
      </c>
      <c r="J58" s="105" t="s">
        <v>551</v>
      </c>
      <c r="L58" s="146" t="s">
        <v>561</v>
      </c>
      <c r="M58" s="146" t="s">
        <v>561</v>
      </c>
      <c r="N58" s="146" t="s">
        <v>561</v>
      </c>
      <c r="O58" s="146" t="s">
        <v>561</v>
      </c>
      <c r="R58" s="146">
        <v>1</v>
      </c>
      <c r="S58" s="148" t="s">
        <v>503</v>
      </c>
      <c r="T58" s="146" t="s">
        <v>561</v>
      </c>
      <c r="U58" s="146" t="s">
        <v>561</v>
      </c>
      <c r="V58" s="146" t="s">
        <v>561</v>
      </c>
      <c r="W58" s="146" t="s">
        <v>561</v>
      </c>
      <c r="X58" s="153" t="s">
        <v>570</v>
      </c>
    </row>
    <row r="59" spans="1:24" ht="29" x14ac:dyDescent="0.3">
      <c r="A59" s="151">
        <v>2</v>
      </c>
      <c r="B59" s="91" t="s">
        <v>502</v>
      </c>
      <c r="C59" s="91" t="s">
        <v>501</v>
      </c>
      <c r="D59" s="91" t="s">
        <v>501</v>
      </c>
      <c r="E59" s="91" t="s">
        <v>501</v>
      </c>
      <c r="F59" s="91" t="s">
        <v>501</v>
      </c>
      <c r="G59" s="91" t="s">
        <v>501</v>
      </c>
      <c r="H59" s="91" t="s">
        <v>501</v>
      </c>
      <c r="I59" s="92" t="s">
        <v>501</v>
      </c>
      <c r="L59" s="146" t="s">
        <v>561</v>
      </c>
      <c r="M59" s="146" t="s">
        <v>561</v>
      </c>
      <c r="N59" s="146" t="s">
        <v>561</v>
      </c>
      <c r="O59" s="146" t="s">
        <v>561</v>
      </c>
      <c r="R59" s="146">
        <v>2</v>
      </c>
      <c r="S59" s="148" t="s">
        <v>505</v>
      </c>
      <c r="T59" s="146" t="s">
        <v>561</v>
      </c>
      <c r="U59" s="146" t="s">
        <v>561</v>
      </c>
      <c r="V59" s="146" t="s">
        <v>561</v>
      </c>
      <c r="W59" s="146" t="s">
        <v>561</v>
      </c>
      <c r="X59" s="153" t="s">
        <v>570</v>
      </c>
    </row>
    <row r="60" spans="1:24" ht="14.5" x14ac:dyDescent="0.3">
      <c r="A60" s="151">
        <v>3</v>
      </c>
      <c r="B60" s="91" t="s">
        <v>503</v>
      </c>
      <c r="C60" s="91" t="s">
        <v>501</v>
      </c>
      <c r="D60" s="91" t="s">
        <v>501</v>
      </c>
      <c r="E60" s="91" t="s">
        <v>501</v>
      </c>
      <c r="F60" s="91" t="s">
        <v>501</v>
      </c>
      <c r="G60" s="91" t="s">
        <v>501</v>
      </c>
      <c r="H60" s="91" t="s">
        <v>501</v>
      </c>
      <c r="I60" s="93" t="s">
        <v>504</v>
      </c>
      <c r="L60" s="146" t="s">
        <v>561</v>
      </c>
      <c r="M60" s="146" t="s">
        <v>561</v>
      </c>
      <c r="N60" s="146" t="s">
        <v>561</v>
      </c>
      <c r="O60" s="146" t="s">
        <v>561</v>
      </c>
      <c r="R60" s="146">
        <v>3</v>
      </c>
      <c r="S60" s="148" t="s">
        <v>146</v>
      </c>
      <c r="T60" s="146" t="s">
        <v>561</v>
      </c>
      <c r="U60" s="146" t="s">
        <v>561</v>
      </c>
      <c r="V60" s="146" t="s">
        <v>561</v>
      </c>
      <c r="W60" s="146" t="s">
        <v>561</v>
      </c>
      <c r="X60" s="153" t="s">
        <v>570</v>
      </c>
    </row>
    <row r="61" spans="1:24" ht="29" x14ac:dyDescent="0.3">
      <c r="A61" s="151">
        <v>4</v>
      </c>
      <c r="B61" s="91" t="s">
        <v>505</v>
      </c>
      <c r="C61" s="91" t="s">
        <v>501</v>
      </c>
      <c r="D61" s="91" t="s">
        <v>501</v>
      </c>
      <c r="E61" s="91" t="s">
        <v>501</v>
      </c>
      <c r="F61" s="91" t="s">
        <v>501</v>
      </c>
      <c r="G61" s="91" t="s">
        <v>501</v>
      </c>
      <c r="H61" s="91" t="s">
        <v>501</v>
      </c>
      <c r="I61" s="93" t="s">
        <v>504</v>
      </c>
      <c r="J61" s="49" t="s">
        <v>552</v>
      </c>
      <c r="L61" s="146" t="s">
        <v>561</v>
      </c>
      <c r="M61" s="146" t="s">
        <v>561</v>
      </c>
      <c r="N61" s="146" t="s">
        <v>561</v>
      </c>
      <c r="O61" s="146" t="s">
        <v>561</v>
      </c>
      <c r="Q61" s="49" t="str">
        <f>X61</f>
        <v>Major Organ / Bone Marrow Transplant</v>
      </c>
      <c r="R61" s="146">
        <v>4</v>
      </c>
      <c r="S61" s="148" t="s">
        <v>502</v>
      </c>
      <c r="T61" s="146" t="s">
        <v>561</v>
      </c>
      <c r="U61" s="146" t="s">
        <v>561</v>
      </c>
      <c r="V61" s="146" t="s">
        <v>561</v>
      </c>
      <c r="W61" s="146" t="s">
        <v>561</v>
      </c>
      <c r="X61" s="154" t="s">
        <v>502</v>
      </c>
    </row>
    <row r="62" spans="1:24" ht="29" x14ac:dyDescent="0.3">
      <c r="A62" s="151">
        <v>5</v>
      </c>
      <c r="B62" s="91" t="s">
        <v>506</v>
      </c>
      <c r="C62" s="91" t="s">
        <v>501</v>
      </c>
      <c r="D62" s="91" t="s">
        <v>501</v>
      </c>
      <c r="E62" s="91" t="s">
        <v>501</v>
      </c>
      <c r="F62" s="91" t="s">
        <v>501</v>
      </c>
      <c r="G62" s="91" t="s">
        <v>501</v>
      </c>
      <c r="H62" s="91" t="s">
        <v>501</v>
      </c>
      <c r="I62" s="93" t="s">
        <v>504</v>
      </c>
      <c r="L62" s="146" t="s">
        <v>561</v>
      </c>
      <c r="M62" s="146" t="s">
        <v>561</v>
      </c>
      <c r="N62" s="146" t="s">
        <v>561</v>
      </c>
      <c r="O62" s="146" t="s">
        <v>561</v>
      </c>
      <c r="R62" s="146">
        <v>5</v>
      </c>
      <c r="S62" s="148" t="s">
        <v>508</v>
      </c>
      <c r="T62" s="146" t="s">
        <v>561</v>
      </c>
      <c r="U62" s="146" t="s">
        <v>561</v>
      </c>
      <c r="V62" s="146" t="s">
        <v>561</v>
      </c>
      <c r="W62" s="146" t="s">
        <v>561</v>
      </c>
      <c r="X62" s="153" t="s">
        <v>570</v>
      </c>
    </row>
    <row r="63" spans="1:24" ht="14.5" x14ac:dyDescent="0.3">
      <c r="A63" s="151">
        <v>6</v>
      </c>
      <c r="B63" s="91" t="s">
        <v>131</v>
      </c>
      <c r="C63" s="91" t="s">
        <v>501</v>
      </c>
      <c r="D63" s="91" t="s">
        <v>501</v>
      </c>
      <c r="E63" s="91" t="s">
        <v>501</v>
      </c>
      <c r="F63" s="91" t="s">
        <v>501</v>
      </c>
      <c r="G63" s="91" t="s">
        <v>501</v>
      </c>
      <c r="H63" s="91" t="s">
        <v>501</v>
      </c>
      <c r="I63" s="93" t="s">
        <v>504</v>
      </c>
      <c r="L63" s="146" t="s">
        <v>561</v>
      </c>
      <c r="M63" s="146" t="s">
        <v>561</v>
      </c>
      <c r="N63" s="146" t="s">
        <v>561</v>
      </c>
      <c r="O63" s="146" t="s">
        <v>561</v>
      </c>
      <c r="R63" s="146">
        <v>6</v>
      </c>
      <c r="S63" s="148" t="s">
        <v>507</v>
      </c>
      <c r="T63" s="146" t="s">
        <v>561</v>
      </c>
      <c r="U63" s="146" t="s">
        <v>561</v>
      </c>
      <c r="V63" s="146" t="s">
        <v>561</v>
      </c>
      <c r="W63" s="146" t="s">
        <v>561</v>
      </c>
      <c r="X63" s="153" t="s">
        <v>570</v>
      </c>
    </row>
    <row r="64" spans="1:24" ht="29" x14ac:dyDescent="0.3">
      <c r="A64" s="151">
        <v>7</v>
      </c>
      <c r="B64" s="91" t="s">
        <v>170</v>
      </c>
      <c r="C64" s="91" t="s">
        <v>501</v>
      </c>
      <c r="D64" s="91" t="s">
        <v>501</v>
      </c>
      <c r="E64" s="91" t="s">
        <v>501</v>
      </c>
      <c r="F64" s="91" t="s">
        <v>501</v>
      </c>
      <c r="G64" s="91" t="s">
        <v>501</v>
      </c>
      <c r="H64" s="91" t="s">
        <v>501</v>
      </c>
      <c r="I64" s="93" t="s">
        <v>504</v>
      </c>
      <c r="L64" s="146">
        <v>0</v>
      </c>
      <c r="M64" s="146" t="s">
        <v>561</v>
      </c>
      <c r="N64" s="146" t="s">
        <v>561</v>
      </c>
      <c r="O64" s="146" t="s">
        <v>561</v>
      </c>
      <c r="R64" s="146">
        <v>7</v>
      </c>
      <c r="S64" s="148" t="s">
        <v>563</v>
      </c>
      <c r="T64" s="146" t="s">
        <v>561</v>
      </c>
      <c r="U64" s="146" t="s">
        <v>561</v>
      </c>
      <c r="V64" s="146" t="s">
        <v>561</v>
      </c>
      <c r="W64" s="146" t="s">
        <v>561</v>
      </c>
      <c r="X64" s="153" t="s">
        <v>570</v>
      </c>
    </row>
    <row r="65" spans="1:24" ht="14.5" x14ac:dyDescent="0.3">
      <c r="A65" s="151">
        <v>8</v>
      </c>
      <c r="B65" s="91" t="s">
        <v>507</v>
      </c>
      <c r="C65" s="94" t="s">
        <v>504</v>
      </c>
      <c r="D65" s="91" t="s">
        <v>501</v>
      </c>
      <c r="E65" s="91" t="s">
        <v>501</v>
      </c>
      <c r="F65" s="91" t="s">
        <v>501</v>
      </c>
      <c r="G65" s="91" t="s">
        <v>501</v>
      </c>
      <c r="H65" s="91" t="s">
        <v>501</v>
      </c>
      <c r="I65" s="93" t="s">
        <v>504</v>
      </c>
      <c r="L65" s="146" t="s">
        <v>561</v>
      </c>
      <c r="M65" s="146" t="s">
        <v>561</v>
      </c>
      <c r="N65" s="146" t="s">
        <v>561</v>
      </c>
      <c r="O65" s="146" t="s">
        <v>561</v>
      </c>
      <c r="R65" s="146">
        <v>8</v>
      </c>
      <c r="S65" s="148" t="s">
        <v>131</v>
      </c>
      <c r="T65" s="146" t="s">
        <v>561</v>
      </c>
      <c r="U65" s="146" t="s">
        <v>561</v>
      </c>
      <c r="V65" s="146" t="s">
        <v>561</v>
      </c>
      <c r="W65" s="146" t="s">
        <v>561</v>
      </c>
      <c r="X65" s="153" t="s">
        <v>570</v>
      </c>
    </row>
    <row r="66" spans="1:24" ht="29" x14ac:dyDescent="0.3">
      <c r="A66" s="151">
        <v>9</v>
      </c>
      <c r="B66" s="91" t="s">
        <v>508</v>
      </c>
      <c r="C66" s="94" t="s">
        <v>504</v>
      </c>
      <c r="D66" s="91" t="s">
        <v>501</v>
      </c>
      <c r="E66" s="91" t="s">
        <v>501</v>
      </c>
      <c r="F66" s="91" t="s">
        <v>501</v>
      </c>
      <c r="G66" s="91" t="s">
        <v>501</v>
      </c>
      <c r="H66" s="91" t="s">
        <v>501</v>
      </c>
      <c r="I66" s="93" t="s">
        <v>504</v>
      </c>
      <c r="L66" s="146" t="s">
        <v>561</v>
      </c>
      <c r="M66" s="146" t="s">
        <v>561</v>
      </c>
      <c r="N66" s="146" t="s">
        <v>561</v>
      </c>
      <c r="O66" s="146" t="s">
        <v>561</v>
      </c>
      <c r="Q66" s="49" t="str">
        <f>X66</f>
        <v>Myocardial Infarction (First Heart Attack - Of Specified Severity)</v>
      </c>
      <c r="R66" s="146">
        <v>9</v>
      </c>
      <c r="S66" s="148" t="s">
        <v>500</v>
      </c>
      <c r="T66" s="146" t="s">
        <v>561</v>
      </c>
      <c r="U66" s="146" t="s">
        <v>561</v>
      </c>
      <c r="V66" s="146" t="s">
        <v>561</v>
      </c>
      <c r="W66" s="146" t="s">
        <v>561</v>
      </c>
      <c r="X66" s="154" t="s">
        <v>500</v>
      </c>
    </row>
    <row r="67" spans="1:24" ht="14.5" x14ac:dyDescent="0.3">
      <c r="A67" s="151">
        <v>10</v>
      </c>
      <c r="B67" s="91" t="s">
        <v>194</v>
      </c>
      <c r="C67" s="94" t="s">
        <v>504</v>
      </c>
      <c r="D67" s="91" t="s">
        <v>501</v>
      </c>
      <c r="E67" s="91" t="s">
        <v>501</v>
      </c>
      <c r="F67" s="91" t="s">
        <v>501</v>
      </c>
      <c r="G67" s="91" t="s">
        <v>501</v>
      </c>
      <c r="H67" s="91" t="s">
        <v>501</v>
      </c>
      <c r="I67" s="93" t="s">
        <v>504</v>
      </c>
      <c r="L67" s="146">
        <v>0</v>
      </c>
      <c r="M67" s="146" t="s">
        <v>561</v>
      </c>
      <c r="N67" s="146" t="s">
        <v>561</v>
      </c>
      <c r="O67" s="146" t="s">
        <v>561</v>
      </c>
      <c r="R67" s="146">
        <v>10</v>
      </c>
      <c r="S67" s="148" t="s">
        <v>170</v>
      </c>
      <c r="T67" s="146"/>
      <c r="U67" s="146" t="s">
        <v>561</v>
      </c>
      <c r="V67" s="146" t="s">
        <v>561</v>
      </c>
      <c r="W67" s="146" t="s">
        <v>561</v>
      </c>
      <c r="X67" s="153" t="s">
        <v>570</v>
      </c>
    </row>
    <row r="68" spans="1:24" ht="29" x14ac:dyDescent="0.3">
      <c r="A68" s="151">
        <v>11</v>
      </c>
      <c r="B68" s="91" t="s">
        <v>172</v>
      </c>
      <c r="C68" s="94" t="s">
        <v>504</v>
      </c>
      <c r="D68" s="91" t="s">
        <v>501</v>
      </c>
      <c r="E68" s="91" t="s">
        <v>501</v>
      </c>
      <c r="F68" s="91" t="s">
        <v>501</v>
      </c>
      <c r="G68" s="91" t="s">
        <v>501</v>
      </c>
      <c r="H68" s="91" t="s">
        <v>501</v>
      </c>
      <c r="I68" s="93" t="s">
        <v>504</v>
      </c>
      <c r="L68" s="146">
        <v>0</v>
      </c>
      <c r="M68" s="146">
        <v>0</v>
      </c>
      <c r="N68" s="146" t="s">
        <v>561</v>
      </c>
      <c r="O68" s="146" t="s">
        <v>561</v>
      </c>
      <c r="R68" s="146">
        <v>11</v>
      </c>
      <c r="S68" s="148" t="s">
        <v>194</v>
      </c>
      <c r="T68" s="146"/>
      <c r="U68" s="146" t="s">
        <v>561</v>
      </c>
      <c r="V68" s="146" t="s">
        <v>561</v>
      </c>
      <c r="W68" s="146" t="s">
        <v>561</v>
      </c>
      <c r="X68" s="153" t="s">
        <v>570</v>
      </c>
    </row>
    <row r="69" spans="1:24" ht="14.5" x14ac:dyDescent="0.3">
      <c r="A69" s="151">
        <v>12</v>
      </c>
      <c r="B69" s="91" t="s">
        <v>190</v>
      </c>
      <c r="C69" s="94" t="s">
        <v>504</v>
      </c>
      <c r="D69" s="94" t="s">
        <v>504</v>
      </c>
      <c r="E69" s="91" t="s">
        <v>501</v>
      </c>
      <c r="F69" s="91" t="s">
        <v>501</v>
      </c>
      <c r="G69" s="91" t="s">
        <v>501</v>
      </c>
      <c r="H69" s="91" t="s">
        <v>501</v>
      </c>
      <c r="I69" s="93" t="s">
        <v>504</v>
      </c>
      <c r="L69" s="146">
        <v>0</v>
      </c>
      <c r="M69" s="146">
        <v>0</v>
      </c>
      <c r="N69" s="146" t="s">
        <v>561</v>
      </c>
      <c r="O69" s="146" t="s">
        <v>561</v>
      </c>
      <c r="R69" s="146">
        <v>12</v>
      </c>
      <c r="S69" s="148" t="s">
        <v>509</v>
      </c>
      <c r="T69" s="146"/>
      <c r="U69" s="146" t="s">
        <v>561</v>
      </c>
      <c r="V69" s="146" t="s">
        <v>561</v>
      </c>
      <c r="W69" s="146" t="s">
        <v>561</v>
      </c>
      <c r="X69" s="153" t="s">
        <v>570</v>
      </c>
    </row>
    <row r="70" spans="1:24" ht="14.5" x14ac:dyDescent="0.3">
      <c r="A70" s="151">
        <v>13</v>
      </c>
      <c r="B70" s="91" t="s">
        <v>192</v>
      </c>
      <c r="C70" s="94" t="s">
        <v>504</v>
      </c>
      <c r="D70" s="94" t="s">
        <v>504</v>
      </c>
      <c r="E70" s="91" t="s">
        <v>501</v>
      </c>
      <c r="F70" s="91" t="s">
        <v>501</v>
      </c>
      <c r="G70" s="91" t="s">
        <v>501</v>
      </c>
      <c r="H70" s="91" t="s">
        <v>501</v>
      </c>
      <c r="I70" s="93" t="s">
        <v>504</v>
      </c>
      <c r="L70" s="146">
        <v>0</v>
      </c>
      <c r="M70" s="146" t="s">
        <v>561</v>
      </c>
      <c r="N70" s="146" t="s">
        <v>561</v>
      </c>
      <c r="O70" s="146" t="s">
        <v>561</v>
      </c>
      <c r="R70" s="146">
        <v>13</v>
      </c>
      <c r="S70" s="148" t="s">
        <v>510</v>
      </c>
      <c r="T70" s="146"/>
      <c r="U70" s="146" t="s">
        <v>561</v>
      </c>
      <c r="V70" s="146" t="s">
        <v>561</v>
      </c>
      <c r="W70" s="146" t="s">
        <v>561</v>
      </c>
      <c r="X70" s="153" t="s">
        <v>570</v>
      </c>
    </row>
    <row r="71" spans="1:24" ht="14.5" x14ac:dyDescent="0.3">
      <c r="A71" s="151">
        <v>14</v>
      </c>
      <c r="B71" s="91" t="s">
        <v>509</v>
      </c>
      <c r="C71" s="94" t="s">
        <v>504</v>
      </c>
      <c r="D71" s="94" t="s">
        <v>504</v>
      </c>
      <c r="E71" s="91" t="s">
        <v>501</v>
      </c>
      <c r="F71" s="91" t="s">
        <v>501</v>
      </c>
      <c r="G71" s="91" t="s">
        <v>501</v>
      </c>
      <c r="H71" s="91" t="s">
        <v>501</v>
      </c>
      <c r="I71" s="93" t="s">
        <v>504</v>
      </c>
      <c r="L71" s="146">
        <v>0</v>
      </c>
      <c r="M71" s="146" t="s">
        <v>561</v>
      </c>
      <c r="N71" s="146" t="s">
        <v>561</v>
      </c>
      <c r="O71" s="146" t="s">
        <v>561</v>
      </c>
      <c r="R71" s="146">
        <v>14</v>
      </c>
      <c r="S71" s="148" t="s">
        <v>511</v>
      </c>
      <c r="T71" s="146"/>
      <c r="U71" s="146" t="s">
        <v>561</v>
      </c>
      <c r="V71" s="146" t="s">
        <v>561</v>
      </c>
      <c r="W71" s="146" t="s">
        <v>561</v>
      </c>
      <c r="X71" s="153" t="s">
        <v>570</v>
      </c>
    </row>
    <row r="72" spans="1:24" ht="14.5" x14ac:dyDescent="0.3">
      <c r="A72" s="151">
        <v>15</v>
      </c>
      <c r="B72" s="91" t="s">
        <v>510</v>
      </c>
      <c r="C72" s="94" t="s">
        <v>504</v>
      </c>
      <c r="D72" s="94" t="s">
        <v>504</v>
      </c>
      <c r="E72" s="91" t="s">
        <v>501</v>
      </c>
      <c r="F72" s="91" t="s">
        <v>501</v>
      </c>
      <c r="G72" s="91" t="s">
        <v>501</v>
      </c>
      <c r="H72" s="91" t="s">
        <v>501</v>
      </c>
      <c r="I72" s="93" t="s">
        <v>504</v>
      </c>
      <c r="L72" s="146">
        <v>0</v>
      </c>
      <c r="M72" s="146" t="s">
        <v>561</v>
      </c>
      <c r="N72" s="146" t="s">
        <v>561</v>
      </c>
      <c r="O72" s="146" t="s">
        <v>561</v>
      </c>
      <c r="Q72" s="49" t="str">
        <f>X72</f>
        <v>Major Surgery of Aorta</v>
      </c>
      <c r="R72" s="146">
        <v>15</v>
      </c>
      <c r="S72" s="148" t="s">
        <v>564</v>
      </c>
      <c r="T72" s="146"/>
      <c r="U72" s="146" t="s">
        <v>561</v>
      </c>
      <c r="V72" s="146" t="s">
        <v>561</v>
      </c>
      <c r="W72" s="146" t="s">
        <v>561</v>
      </c>
      <c r="X72" s="154" t="s">
        <v>512</v>
      </c>
    </row>
    <row r="73" spans="1:24" ht="14.5" x14ac:dyDescent="0.3">
      <c r="A73" s="151">
        <v>16</v>
      </c>
      <c r="B73" s="91" t="s">
        <v>511</v>
      </c>
      <c r="C73" s="94" t="s">
        <v>504</v>
      </c>
      <c r="D73" s="94" t="s">
        <v>504</v>
      </c>
      <c r="E73" s="94" t="s">
        <v>504</v>
      </c>
      <c r="F73" s="91" t="s">
        <v>501</v>
      </c>
      <c r="G73" s="91" t="s">
        <v>501</v>
      </c>
      <c r="H73" s="91" t="s">
        <v>501</v>
      </c>
      <c r="I73" s="93" t="s">
        <v>504</v>
      </c>
      <c r="L73" s="146">
        <v>0</v>
      </c>
      <c r="M73" s="146" t="s">
        <v>561</v>
      </c>
      <c r="N73" s="146" t="s">
        <v>561</v>
      </c>
      <c r="O73" s="146" t="s">
        <v>561</v>
      </c>
      <c r="R73" s="146">
        <v>16</v>
      </c>
      <c r="S73" s="148" t="s">
        <v>182</v>
      </c>
      <c r="T73" s="146"/>
      <c r="U73" s="146" t="s">
        <v>561</v>
      </c>
      <c r="V73" s="146" t="s">
        <v>561</v>
      </c>
      <c r="W73" s="146" t="s">
        <v>561</v>
      </c>
      <c r="X73" s="153" t="s">
        <v>570</v>
      </c>
    </row>
    <row r="74" spans="1:24" ht="14.5" x14ac:dyDescent="0.3">
      <c r="A74" s="151">
        <v>17</v>
      </c>
      <c r="B74" s="91" t="s">
        <v>512</v>
      </c>
      <c r="C74" s="94" t="s">
        <v>504</v>
      </c>
      <c r="D74" s="94" t="s">
        <v>504</v>
      </c>
      <c r="E74" s="94" t="s">
        <v>504</v>
      </c>
      <c r="F74" s="91" t="s">
        <v>501</v>
      </c>
      <c r="G74" s="91" t="s">
        <v>501</v>
      </c>
      <c r="H74" s="91" t="s">
        <v>501</v>
      </c>
      <c r="I74" s="93" t="s">
        <v>504</v>
      </c>
      <c r="L74" s="146">
        <v>0</v>
      </c>
      <c r="M74" s="146" t="s">
        <v>561</v>
      </c>
      <c r="N74" s="146" t="s">
        <v>561</v>
      </c>
      <c r="O74" s="146" t="s">
        <v>561</v>
      </c>
      <c r="R74" s="146">
        <v>17</v>
      </c>
      <c r="S74" s="148" t="s">
        <v>184</v>
      </c>
      <c r="T74" s="146"/>
      <c r="U74" s="146" t="s">
        <v>561</v>
      </c>
      <c r="V74" s="146" t="s">
        <v>561</v>
      </c>
      <c r="W74" s="146" t="s">
        <v>561</v>
      </c>
      <c r="X74" s="153" t="s">
        <v>570</v>
      </c>
    </row>
    <row r="75" spans="1:24" ht="14.5" x14ac:dyDescent="0.3">
      <c r="A75" s="151">
        <v>18</v>
      </c>
      <c r="B75" s="91" t="s">
        <v>182</v>
      </c>
      <c r="C75" s="94" t="s">
        <v>504</v>
      </c>
      <c r="D75" s="94" t="s">
        <v>504</v>
      </c>
      <c r="E75" s="94" t="s">
        <v>504</v>
      </c>
      <c r="F75" s="91" t="s">
        <v>501</v>
      </c>
      <c r="G75" s="91" t="s">
        <v>501</v>
      </c>
      <c r="H75" s="91" t="s">
        <v>501</v>
      </c>
      <c r="I75" s="93" t="s">
        <v>504</v>
      </c>
      <c r="L75" s="146">
        <v>0</v>
      </c>
      <c r="M75" s="146" t="s">
        <v>561</v>
      </c>
      <c r="N75" s="146" t="s">
        <v>561</v>
      </c>
      <c r="O75" s="146" t="s">
        <v>561</v>
      </c>
      <c r="R75" s="146">
        <v>18</v>
      </c>
      <c r="S75" s="148" t="s">
        <v>192</v>
      </c>
      <c r="T75" s="146"/>
      <c r="U75" s="146" t="s">
        <v>561</v>
      </c>
      <c r="V75" s="146" t="s">
        <v>561</v>
      </c>
      <c r="W75" s="146" t="s">
        <v>561</v>
      </c>
      <c r="X75" s="153" t="s">
        <v>570</v>
      </c>
    </row>
    <row r="76" spans="1:24" ht="14.5" x14ac:dyDescent="0.3">
      <c r="A76" s="151">
        <v>19</v>
      </c>
      <c r="B76" s="91" t="s">
        <v>513</v>
      </c>
      <c r="C76" s="94" t="s">
        <v>504</v>
      </c>
      <c r="D76" s="94" t="s">
        <v>504</v>
      </c>
      <c r="E76" s="94" t="s">
        <v>504</v>
      </c>
      <c r="F76" s="91" t="s">
        <v>501</v>
      </c>
      <c r="G76" s="91" t="s">
        <v>501</v>
      </c>
      <c r="H76" s="91" t="s">
        <v>501</v>
      </c>
      <c r="I76" s="93" t="s">
        <v>504</v>
      </c>
      <c r="L76" s="146">
        <v>0</v>
      </c>
      <c r="M76" s="146">
        <v>0</v>
      </c>
      <c r="N76" s="146" t="s">
        <v>561</v>
      </c>
      <c r="O76" s="146" t="s">
        <v>561</v>
      </c>
      <c r="R76" s="146">
        <v>19</v>
      </c>
      <c r="S76" s="148" t="s">
        <v>172</v>
      </c>
      <c r="T76" s="146"/>
      <c r="U76" s="146"/>
      <c r="V76" s="146" t="s">
        <v>561</v>
      </c>
      <c r="W76" s="146" t="s">
        <v>561</v>
      </c>
      <c r="X76" s="153" t="s">
        <v>570</v>
      </c>
    </row>
    <row r="77" spans="1:24" ht="14.5" x14ac:dyDescent="0.3">
      <c r="A77" s="151">
        <v>20</v>
      </c>
      <c r="B77" s="91" t="s">
        <v>514</v>
      </c>
      <c r="C77" s="94" t="s">
        <v>504</v>
      </c>
      <c r="D77" s="94" t="s">
        <v>504</v>
      </c>
      <c r="E77" s="94" t="s">
        <v>504</v>
      </c>
      <c r="F77" s="91" t="s">
        <v>501</v>
      </c>
      <c r="G77" s="91" t="s">
        <v>501</v>
      </c>
      <c r="H77" s="91" t="s">
        <v>501</v>
      </c>
      <c r="I77" s="93" t="s">
        <v>504</v>
      </c>
      <c r="L77" s="146">
        <v>0</v>
      </c>
      <c r="M77" s="146" t="s">
        <v>561</v>
      </c>
      <c r="N77" s="146" t="s">
        <v>561</v>
      </c>
      <c r="O77" s="146" t="s">
        <v>561</v>
      </c>
      <c r="R77" s="146">
        <v>20</v>
      </c>
      <c r="S77" s="148" t="s">
        <v>137</v>
      </c>
      <c r="T77" s="146"/>
      <c r="U77" s="146"/>
      <c r="V77" s="146" t="s">
        <v>561</v>
      </c>
      <c r="W77" s="146" t="s">
        <v>561</v>
      </c>
      <c r="X77" s="153" t="s">
        <v>570</v>
      </c>
    </row>
    <row r="78" spans="1:24" ht="14.5" x14ac:dyDescent="0.3">
      <c r="A78" s="151">
        <v>21</v>
      </c>
      <c r="B78" s="91" t="s">
        <v>515</v>
      </c>
      <c r="C78" s="94" t="s">
        <v>504</v>
      </c>
      <c r="D78" s="94" t="s">
        <v>504</v>
      </c>
      <c r="E78" s="94" t="s">
        <v>504</v>
      </c>
      <c r="F78" s="91" t="s">
        <v>501</v>
      </c>
      <c r="G78" s="91" t="s">
        <v>501</v>
      </c>
      <c r="H78" s="91" t="s">
        <v>501</v>
      </c>
      <c r="I78" s="93" t="s">
        <v>504</v>
      </c>
      <c r="L78" s="146">
        <v>0</v>
      </c>
      <c r="M78" s="146">
        <v>0</v>
      </c>
      <c r="N78" s="146">
        <v>0</v>
      </c>
      <c r="O78" s="146" t="s">
        <v>561</v>
      </c>
      <c r="Q78" s="49" t="str">
        <f>X78</f>
        <v>Loss of Limbs</v>
      </c>
      <c r="R78" s="146">
        <v>21</v>
      </c>
      <c r="S78" s="148" t="s">
        <v>513</v>
      </c>
      <c r="T78" s="146"/>
      <c r="U78" s="146"/>
      <c r="V78" s="146" t="s">
        <v>561</v>
      </c>
      <c r="W78" s="146" t="s">
        <v>561</v>
      </c>
      <c r="X78" s="148" t="s">
        <v>513</v>
      </c>
    </row>
    <row r="79" spans="1:24" ht="14.5" x14ac:dyDescent="0.3">
      <c r="A79" s="151">
        <v>22</v>
      </c>
      <c r="B79" s="91" t="s">
        <v>146</v>
      </c>
      <c r="C79" s="94" t="s">
        <v>504</v>
      </c>
      <c r="D79" s="94" t="s">
        <v>504</v>
      </c>
      <c r="E79" s="94" t="s">
        <v>504</v>
      </c>
      <c r="F79" s="91" t="s">
        <v>501</v>
      </c>
      <c r="G79" s="91" t="s">
        <v>501</v>
      </c>
      <c r="H79" s="91" t="s">
        <v>501</v>
      </c>
      <c r="I79" s="93" t="s">
        <v>504</v>
      </c>
      <c r="L79" s="146" t="s">
        <v>561</v>
      </c>
      <c r="M79" s="146" t="s">
        <v>561</v>
      </c>
      <c r="N79" s="146" t="s">
        <v>561</v>
      </c>
      <c r="O79" s="146" t="s">
        <v>561</v>
      </c>
      <c r="R79" s="146">
        <v>22</v>
      </c>
      <c r="S79" s="148" t="s">
        <v>518</v>
      </c>
      <c r="T79" s="146"/>
      <c r="U79" s="146"/>
      <c r="V79" s="146" t="s">
        <v>561</v>
      </c>
      <c r="W79" s="146" t="s">
        <v>561</v>
      </c>
      <c r="X79" s="153" t="s">
        <v>570</v>
      </c>
    </row>
    <row r="80" spans="1:24" ht="14.5" x14ac:dyDescent="0.3">
      <c r="A80" s="151">
        <v>23</v>
      </c>
      <c r="B80" s="91" t="s">
        <v>140</v>
      </c>
      <c r="C80" s="94" t="s">
        <v>504</v>
      </c>
      <c r="D80" s="94" t="s">
        <v>504</v>
      </c>
      <c r="E80" s="94" t="s">
        <v>504</v>
      </c>
      <c r="F80" s="91" t="s">
        <v>501</v>
      </c>
      <c r="G80" s="91" t="s">
        <v>501</v>
      </c>
      <c r="H80" s="91" t="s">
        <v>501</v>
      </c>
      <c r="I80" s="93" t="s">
        <v>504</v>
      </c>
      <c r="L80" s="146">
        <v>0</v>
      </c>
      <c r="M80" s="146">
        <v>0</v>
      </c>
      <c r="N80" s="146" t="s">
        <v>561</v>
      </c>
      <c r="O80" s="146" t="s">
        <v>561</v>
      </c>
      <c r="R80" s="146">
        <v>23</v>
      </c>
      <c r="S80" s="148" t="s">
        <v>190</v>
      </c>
      <c r="T80" s="146"/>
      <c r="U80" s="146"/>
      <c r="V80" s="146" t="s">
        <v>561</v>
      </c>
      <c r="W80" s="146" t="s">
        <v>561</v>
      </c>
      <c r="X80" s="153" t="s">
        <v>570</v>
      </c>
    </row>
    <row r="81" spans="1:24" ht="29" x14ac:dyDescent="0.3">
      <c r="A81" s="151">
        <v>24</v>
      </c>
      <c r="B81" s="91" t="s">
        <v>137</v>
      </c>
      <c r="C81" s="94" t="s">
        <v>504</v>
      </c>
      <c r="D81" s="94" t="s">
        <v>504</v>
      </c>
      <c r="E81" s="94" t="s">
        <v>504</v>
      </c>
      <c r="F81" s="91" t="s">
        <v>501</v>
      </c>
      <c r="G81" s="91" t="s">
        <v>501</v>
      </c>
      <c r="H81" s="91" t="s">
        <v>501</v>
      </c>
      <c r="I81" s="93" t="s">
        <v>504</v>
      </c>
      <c r="L81" s="146">
        <v>0</v>
      </c>
      <c r="M81" s="146">
        <v>0</v>
      </c>
      <c r="N81" s="146" t="s">
        <v>561</v>
      </c>
      <c r="O81" s="146" t="s">
        <v>561</v>
      </c>
      <c r="R81" s="146">
        <v>24</v>
      </c>
      <c r="S81" s="148" t="s">
        <v>178</v>
      </c>
      <c r="T81" s="146"/>
      <c r="U81" s="146"/>
      <c r="V81" s="146" t="s">
        <v>561</v>
      </c>
      <c r="W81" s="146" t="s">
        <v>561</v>
      </c>
      <c r="X81" s="153" t="s">
        <v>570</v>
      </c>
    </row>
    <row r="82" spans="1:24" ht="14.5" x14ac:dyDescent="0.3">
      <c r="A82" s="151">
        <v>25</v>
      </c>
      <c r="B82" s="91" t="s">
        <v>191</v>
      </c>
      <c r="C82" s="94" t="s">
        <v>504</v>
      </c>
      <c r="D82" s="94" t="s">
        <v>504</v>
      </c>
      <c r="E82" s="94" t="s">
        <v>504</v>
      </c>
      <c r="F82" s="91" t="s">
        <v>501</v>
      </c>
      <c r="G82" s="91" t="s">
        <v>501</v>
      </c>
      <c r="H82" s="91" t="s">
        <v>501</v>
      </c>
      <c r="I82" s="93" t="s">
        <v>504</v>
      </c>
      <c r="L82" s="146">
        <v>0</v>
      </c>
      <c r="M82" s="146">
        <v>0</v>
      </c>
      <c r="N82" s="146">
        <v>0</v>
      </c>
      <c r="O82" s="146" t="s">
        <v>561</v>
      </c>
      <c r="R82" s="146">
        <v>25</v>
      </c>
      <c r="S82" s="148" t="s">
        <v>140</v>
      </c>
      <c r="T82" s="146"/>
      <c r="U82" s="146"/>
      <c r="V82" s="146" t="s">
        <v>561</v>
      </c>
      <c r="W82" s="146" t="s">
        <v>561</v>
      </c>
      <c r="X82" s="153" t="s">
        <v>570</v>
      </c>
    </row>
    <row r="83" spans="1:24" ht="14.5" x14ac:dyDescent="0.3">
      <c r="A83" s="151">
        <v>26</v>
      </c>
      <c r="B83" s="91" t="s">
        <v>193</v>
      </c>
      <c r="C83" s="94" t="s">
        <v>504</v>
      </c>
      <c r="D83" s="94" t="s">
        <v>504</v>
      </c>
      <c r="E83" s="94" t="s">
        <v>504</v>
      </c>
      <c r="F83" s="94" t="s">
        <v>504</v>
      </c>
      <c r="G83" s="91" t="s">
        <v>501</v>
      </c>
      <c r="H83" s="91" t="s">
        <v>501</v>
      </c>
      <c r="I83" s="93" t="s">
        <v>504</v>
      </c>
      <c r="L83" s="146">
        <v>0</v>
      </c>
      <c r="M83" s="146">
        <v>0</v>
      </c>
      <c r="N83" s="146">
        <v>0</v>
      </c>
      <c r="O83" s="146" t="s">
        <v>561</v>
      </c>
      <c r="Q83" s="49" t="str">
        <f>X83</f>
        <v>Systemic Lupus Erythematous With Renal Involvement</v>
      </c>
      <c r="R83" s="146">
        <v>26</v>
      </c>
      <c r="S83" s="148" t="s">
        <v>565</v>
      </c>
      <c r="T83" s="146"/>
      <c r="U83" s="146"/>
      <c r="V83" s="146"/>
      <c r="W83" s="146" t="s">
        <v>561</v>
      </c>
      <c r="X83" s="154" t="s">
        <v>521</v>
      </c>
    </row>
    <row r="84" spans="1:24" ht="14.5" x14ac:dyDescent="0.3">
      <c r="A84" s="151">
        <v>27</v>
      </c>
      <c r="B84" s="91" t="s">
        <v>516</v>
      </c>
      <c r="C84" s="94" t="s">
        <v>504</v>
      </c>
      <c r="D84" s="94" t="s">
        <v>504</v>
      </c>
      <c r="E84" s="94" t="s">
        <v>504</v>
      </c>
      <c r="F84" s="94" t="s">
        <v>504</v>
      </c>
      <c r="G84" s="91" t="s">
        <v>501</v>
      </c>
      <c r="H84" s="91" t="s">
        <v>501</v>
      </c>
      <c r="I84" s="93" t="s">
        <v>504</v>
      </c>
      <c r="L84" s="146">
        <v>0</v>
      </c>
      <c r="M84" s="146">
        <v>0</v>
      </c>
      <c r="N84" s="146">
        <v>0</v>
      </c>
      <c r="O84" s="146" t="s">
        <v>561</v>
      </c>
      <c r="Q84" s="49" t="str">
        <f>X84</f>
        <v>Pneumonectomy (Surgical Removal of One Lung)</v>
      </c>
      <c r="R84" s="146">
        <v>27</v>
      </c>
      <c r="S84" s="148" t="s">
        <v>126</v>
      </c>
      <c r="T84" s="146"/>
      <c r="U84" s="146"/>
      <c r="V84" s="146"/>
      <c r="W84" s="146" t="s">
        <v>561</v>
      </c>
      <c r="X84" s="154" t="s">
        <v>527</v>
      </c>
    </row>
    <row r="85" spans="1:24" ht="14.5" x14ac:dyDescent="0.3">
      <c r="A85" s="151">
        <v>28</v>
      </c>
      <c r="B85" s="91" t="s">
        <v>161</v>
      </c>
      <c r="C85" s="94" t="s">
        <v>504</v>
      </c>
      <c r="D85" s="94" t="s">
        <v>504</v>
      </c>
      <c r="E85" s="94" t="s">
        <v>504</v>
      </c>
      <c r="F85" s="94" t="s">
        <v>504</v>
      </c>
      <c r="G85" s="91" t="s">
        <v>501</v>
      </c>
      <c r="H85" s="91" t="s">
        <v>501</v>
      </c>
      <c r="I85" s="93" t="s">
        <v>504</v>
      </c>
      <c r="L85" s="146"/>
      <c r="M85" s="146"/>
      <c r="N85" s="146"/>
      <c r="O85" s="146"/>
      <c r="Q85" s="49" t="str">
        <f>X85</f>
        <v>Medullary Cystic Kidney Disease</v>
      </c>
      <c r="R85" s="146">
        <v>28</v>
      </c>
      <c r="S85" s="148" t="s">
        <v>177</v>
      </c>
      <c r="T85" s="146"/>
      <c r="U85" s="146"/>
      <c r="V85" s="146"/>
      <c r="W85" s="146" t="s">
        <v>561</v>
      </c>
      <c r="X85" s="154" t="s">
        <v>517</v>
      </c>
    </row>
    <row r="86" spans="1:24" ht="14.5" x14ac:dyDescent="0.3">
      <c r="A86" s="151">
        <v>29</v>
      </c>
      <c r="B86" s="91" t="s">
        <v>178</v>
      </c>
      <c r="C86" s="94" t="s">
        <v>504</v>
      </c>
      <c r="D86" s="94" t="s">
        <v>504</v>
      </c>
      <c r="E86" s="94" t="s">
        <v>504</v>
      </c>
      <c r="F86" s="94" t="s">
        <v>504</v>
      </c>
      <c r="G86" s="91" t="s">
        <v>501</v>
      </c>
      <c r="H86" s="91" t="s">
        <v>501</v>
      </c>
      <c r="I86" s="93" t="s">
        <v>504</v>
      </c>
      <c r="L86" s="146">
        <v>0</v>
      </c>
      <c r="M86" s="146">
        <v>0</v>
      </c>
      <c r="N86" s="146" t="s">
        <v>561</v>
      </c>
      <c r="O86" s="146" t="s">
        <v>561</v>
      </c>
      <c r="R86" s="146">
        <v>29</v>
      </c>
      <c r="S86" s="148" t="s">
        <v>125</v>
      </c>
      <c r="T86" s="146"/>
      <c r="U86" s="146"/>
      <c r="V86" s="146"/>
      <c r="W86" s="146" t="s">
        <v>561</v>
      </c>
      <c r="X86" s="153" t="s">
        <v>570</v>
      </c>
    </row>
    <row r="87" spans="1:24" ht="14.5" x14ac:dyDescent="0.3">
      <c r="A87" s="151">
        <v>30</v>
      </c>
      <c r="B87" s="91" t="s">
        <v>517</v>
      </c>
      <c r="C87" s="94" t="s">
        <v>504</v>
      </c>
      <c r="D87" s="94" t="s">
        <v>504</v>
      </c>
      <c r="E87" s="94" t="s">
        <v>504</v>
      </c>
      <c r="F87" s="94" t="s">
        <v>504</v>
      </c>
      <c r="G87" s="91" t="s">
        <v>501</v>
      </c>
      <c r="H87" s="91" t="s">
        <v>501</v>
      </c>
      <c r="I87" s="93" t="s">
        <v>504</v>
      </c>
      <c r="L87" s="146">
        <v>0</v>
      </c>
      <c r="M87" s="146">
        <v>0</v>
      </c>
      <c r="N87" s="146">
        <v>0</v>
      </c>
      <c r="O87" s="146" t="s">
        <v>561</v>
      </c>
      <c r="R87" s="146">
        <v>30</v>
      </c>
      <c r="S87" s="148" t="s">
        <v>193</v>
      </c>
      <c r="T87" s="146"/>
      <c r="U87" s="146"/>
      <c r="V87" s="146"/>
      <c r="W87" s="146" t="s">
        <v>561</v>
      </c>
      <c r="X87" s="153" t="s">
        <v>570</v>
      </c>
    </row>
    <row r="88" spans="1:24" ht="14.5" x14ac:dyDescent="0.3">
      <c r="A88" s="151">
        <v>31</v>
      </c>
      <c r="B88" s="91" t="s">
        <v>518</v>
      </c>
      <c r="C88" s="94" t="s">
        <v>504</v>
      </c>
      <c r="D88" s="94" t="s">
        <v>504</v>
      </c>
      <c r="E88" s="94" t="s">
        <v>504</v>
      </c>
      <c r="F88" s="94" t="s">
        <v>504</v>
      </c>
      <c r="G88" s="91" t="s">
        <v>501</v>
      </c>
      <c r="H88" s="91" t="s">
        <v>501</v>
      </c>
      <c r="I88" s="93" t="s">
        <v>504</v>
      </c>
      <c r="L88" s="146">
        <v>0</v>
      </c>
      <c r="M88" s="146">
        <v>0</v>
      </c>
      <c r="N88" s="146" t="s">
        <v>561</v>
      </c>
      <c r="O88" s="146" t="s">
        <v>561</v>
      </c>
      <c r="Q88" s="49" t="str">
        <f>X88</f>
        <v>Progressive Supranuclear Palsy - Resulting In Permanent Symptoms</v>
      </c>
      <c r="R88" s="146">
        <v>31</v>
      </c>
      <c r="S88" s="148" t="s">
        <v>566</v>
      </c>
      <c r="T88" s="146"/>
      <c r="U88" s="146"/>
      <c r="V88" s="146"/>
      <c r="W88" s="146" t="s">
        <v>561</v>
      </c>
      <c r="X88" s="154" t="s">
        <v>529</v>
      </c>
    </row>
    <row r="89" spans="1:24" ht="14.5" x14ac:dyDescent="0.3">
      <c r="A89" s="151">
        <v>32</v>
      </c>
      <c r="B89" s="91" t="s">
        <v>181</v>
      </c>
      <c r="C89" s="94" t="s">
        <v>504</v>
      </c>
      <c r="D89" s="94" t="s">
        <v>504</v>
      </c>
      <c r="E89" s="94" t="s">
        <v>504</v>
      </c>
      <c r="F89" s="94" t="s">
        <v>504</v>
      </c>
      <c r="G89" s="91" t="s">
        <v>501</v>
      </c>
      <c r="H89" s="91" t="s">
        <v>501</v>
      </c>
      <c r="I89" s="93" t="s">
        <v>504</v>
      </c>
      <c r="L89" s="146"/>
      <c r="M89" s="146"/>
      <c r="N89" s="146"/>
      <c r="O89" s="146"/>
      <c r="R89" s="146">
        <v>32</v>
      </c>
      <c r="S89" s="148" t="s">
        <v>210</v>
      </c>
      <c r="T89" s="146"/>
      <c r="U89" s="146"/>
      <c r="V89" s="146"/>
      <c r="W89" s="146" t="s">
        <v>561</v>
      </c>
      <c r="X89" s="154"/>
    </row>
    <row r="90" spans="1:24" ht="14.5" x14ac:dyDescent="0.3">
      <c r="A90" s="151">
        <v>33</v>
      </c>
      <c r="B90" s="91" t="s">
        <v>519</v>
      </c>
      <c r="C90" s="94" t="s">
        <v>504</v>
      </c>
      <c r="D90" s="94" t="s">
        <v>504</v>
      </c>
      <c r="E90" s="94" t="s">
        <v>504</v>
      </c>
      <c r="F90" s="94" t="s">
        <v>504</v>
      </c>
      <c r="G90" s="91" t="s">
        <v>501</v>
      </c>
      <c r="H90" s="91" t="s">
        <v>501</v>
      </c>
      <c r="I90" s="93" t="s">
        <v>504</v>
      </c>
      <c r="L90" s="146"/>
      <c r="M90" s="146"/>
      <c r="N90" s="146"/>
      <c r="O90" s="146"/>
      <c r="Q90" s="49" t="str">
        <f>X90</f>
        <v>Primary (Idiopathic) Pulmonary Hypertension</v>
      </c>
      <c r="R90" s="146">
        <v>33</v>
      </c>
      <c r="S90" s="148" t="s">
        <v>567</v>
      </c>
      <c r="T90" s="146"/>
      <c r="U90" s="146"/>
      <c r="V90" s="146"/>
      <c r="W90" s="146" t="s">
        <v>561</v>
      </c>
      <c r="X90" s="154" t="s">
        <v>137</v>
      </c>
    </row>
    <row r="91" spans="1:24" ht="14.5" x14ac:dyDescent="0.3">
      <c r="A91" s="151">
        <v>34</v>
      </c>
      <c r="B91" s="91" t="s">
        <v>520</v>
      </c>
      <c r="C91" s="94" t="s">
        <v>504</v>
      </c>
      <c r="D91" s="94" t="s">
        <v>504</v>
      </c>
      <c r="E91" s="94" t="s">
        <v>504</v>
      </c>
      <c r="F91" s="94" t="s">
        <v>504</v>
      </c>
      <c r="G91" s="91" t="s">
        <v>501</v>
      </c>
      <c r="H91" s="91" t="s">
        <v>501</v>
      </c>
      <c r="I91" s="93" t="s">
        <v>504</v>
      </c>
      <c r="L91" s="146"/>
      <c r="M91" s="146"/>
      <c r="N91" s="146"/>
      <c r="O91" s="146"/>
      <c r="Q91" s="49" t="str">
        <f>X91</f>
        <v>Other Serious Coronary Artery Diseases</v>
      </c>
      <c r="R91" s="146">
        <v>34</v>
      </c>
      <c r="S91" s="148" t="s">
        <v>568</v>
      </c>
      <c r="T91" s="146"/>
      <c r="U91" s="146"/>
      <c r="V91" s="146"/>
      <c r="W91" s="146" t="s">
        <v>561</v>
      </c>
      <c r="X91" s="154" t="s">
        <v>524</v>
      </c>
    </row>
    <row r="92" spans="1:24" ht="29" x14ac:dyDescent="0.3">
      <c r="A92" s="151">
        <v>35</v>
      </c>
      <c r="B92" s="91" t="s">
        <v>521</v>
      </c>
      <c r="C92" s="94" t="s">
        <v>504</v>
      </c>
      <c r="D92" s="94" t="s">
        <v>504</v>
      </c>
      <c r="E92" s="94" t="s">
        <v>504</v>
      </c>
      <c r="F92" s="94" t="s">
        <v>504</v>
      </c>
      <c r="G92" s="91" t="s">
        <v>501</v>
      </c>
      <c r="H92" s="91" t="s">
        <v>501</v>
      </c>
      <c r="I92" s="92" t="s">
        <v>501</v>
      </c>
      <c r="L92" s="146">
        <v>0</v>
      </c>
      <c r="M92" s="146">
        <v>0</v>
      </c>
      <c r="N92" s="146">
        <v>0</v>
      </c>
      <c r="O92" s="146" t="s">
        <v>561</v>
      </c>
      <c r="R92" s="146">
        <v>35</v>
      </c>
      <c r="S92" s="148" t="s">
        <v>525</v>
      </c>
      <c r="T92" s="146"/>
      <c r="U92" s="146"/>
      <c r="V92" s="146"/>
      <c r="W92" s="146" t="s">
        <v>561</v>
      </c>
      <c r="X92" s="153" t="s">
        <v>570</v>
      </c>
    </row>
    <row r="93" spans="1:24" ht="14.5" x14ac:dyDescent="0.3">
      <c r="A93" s="151">
        <v>36</v>
      </c>
      <c r="B93" s="91" t="s">
        <v>522</v>
      </c>
      <c r="C93" s="94" t="s">
        <v>504</v>
      </c>
      <c r="D93" s="94" t="s">
        <v>504</v>
      </c>
      <c r="E93" s="94" t="s">
        <v>504</v>
      </c>
      <c r="F93" s="94" t="s">
        <v>504</v>
      </c>
      <c r="G93" s="94" t="s">
        <v>504</v>
      </c>
      <c r="H93" s="91" t="s">
        <v>501</v>
      </c>
      <c r="I93" s="92" t="s">
        <v>501</v>
      </c>
      <c r="L93" s="146"/>
      <c r="M93" s="146"/>
      <c r="N93" s="146"/>
      <c r="O93" s="146"/>
      <c r="R93" s="146">
        <v>36</v>
      </c>
      <c r="S93" s="148" t="s">
        <v>516</v>
      </c>
      <c r="T93" s="146"/>
      <c r="U93" s="146"/>
      <c r="V93" s="146"/>
      <c r="W93" s="146" t="s">
        <v>561</v>
      </c>
      <c r="X93" s="153" t="s">
        <v>570</v>
      </c>
    </row>
    <row r="94" spans="1:24" ht="29" x14ac:dyDescent="0.3">
      <c r="A94" s="151">
        <v>37</v>
      </c>
      <c r="B94" s="91" t="s">
        <v>523</v>
      </c>
      <c r="C94" s="94" t="s">
        <v>504</v>
      </c>
      <c r="D94" s="94" t="s">
        <v>504</v>
      </c>
      <c r="E94" s="94" t="s">
        <v>504</v>
      </c>
      <c r="F94" s="94" t="s">
        <v>504</v>
      </c>
      <c r="G94" s="94" t="s">
        <v>504</v>
      </c>
      <c r="H94" s="91" t="s">
        <v>501</v>
      </c>
      <c r="I94" s="93" t="s">
        <v>504</v>
      </c>
      <c r="L94" s="146"/>
      <c r="M94" s="146"/>
      <c r="N94" s="146"/>
      <c r="O94" s="146"/>
      <c r="Q94" s="49" t="str">
        <f>X94</f>
        <v>Creutzfeldt-Jakob Disease</v>
      </c>
      <c r="R94" s="146">
        <v>37</v>
      </c>
      <c r="S94" s="148" t="s">
        <v>569</v>
      </c>
      <c r="T94" s="146"/>
      <c r="U94" s="146"/>
      <c r="V94" s="146"/>
      <c r="W94" s="146" t="s">
        <v>561</v>
      </c>
      <c r="X94" s="154" t="s">
        <v>526</v>
      </c>
    </row>
    <row r="95" spans="1:24" ht="14.5" x14ac:dyDescent="0.3">
      <c r="A95" s="151">
        <v>38</v>
      </c>
      <c r="B95" s="91" t="s">
        <v>175</v>
      </c>
      <c r="C95" s="94" t="s">
        <v>504</v>
      </c>
      <c r="D95" s="94" t="s">
        <v>504</v>
      </c>
      <c r="E95" s="94" t="s">
        <v>504</v>
      </c>
      <c r="F95" s="94" t="s">
        <v>504</v>
      </c>
      <c r="G95" s="94" t="s">
        <v>504</v>
      </c>
      <c r="H95" s="91" t="s">
        <v>501</v>
      </c>
      <c r="I95" s="93" t="s">
        <v>504</v>
      </c>
      <c r="L95" s="146">
        <v>0</v>
      </c>
      <c r="M95" s="146">
        <v>0</v>
      </c>
      <c r="N95" s="146">
        <v>0</v>
      </c>
      <c r="O95" s="146" t="s">
        <v>561</v>
      </c>
      <c r="R95" s="146">
        <v>38</v>
      </c>
      <c r="S95" s="148" t="s">
        <v>515</v>
      </c>
      <c r="T95" s="146"/>
      <c r="U95" s="146"/>
      <c r="V95" s="146"/>
      <c r="W95" s="146" t="s">
        <v>561</v>
      </c>
      <c r="X95" s="153" t="s">
        <v>570</v>
      </c>
    </row>
    <row r="96" spans="1:24" ht="29" x14ac:dyDescent="0.3">
      <c r="A96" s="151">
        <v>39</v>
      </c>
      <c r="B96" s="91" t="s">
        <v>524</v>
      </c>
      <c r="C96" s="94" t="s">
        <v>504</v>
      </c>
      <c r="D96" s="94" t="s">
        <v>504</v>
      </c>
      <c r="E96" s="94" t="s">
        <v>504</v>
      </c>
      <c r="F96" s="94" t="s">
        <v>504</v>
      </c>
      <c r="G96" s="94" t="s">
        <v>504</v>
      </c>
      <c r="H96" s="91" t="s">
        <v>501</v>
      </c>
      <c r="I96" s="93" t="s">
        <v>504</v>
      </c>
      <c r="L96" s="146">
        <v>0</v>
      </c>
      <c r="M96" s="146">
        <v>0</v>
      </c>
      <c r="N96" s="146">
        <v>0</v>
      </c>
      <c r="O96" s="146" t="s">
        <v>561</v>
      </c>
      <c r="R96" s="146">
        <v>39</v>
      </c>
      <c r="S96" s="148" t="s">
        <v>528</v>
      </c>
      <c r="T96" s="146"/>
      <c r="U96" s="146"/>
      <c r="V96" s="146"/>
      <c r="W96" s="146" t="s">
        <v>561</v>
      </c>
      <c r="X96" s="153" t="s">
        <v>570</v>
      </c>
    </row>
    <row r="97" spans="1:24" ht="14.5" x14ac:dyDescent="0.3">
      <c r="A97" s="151">
        <v>40</v>
      </c>
      <c r="B97" s="91" t="s">
        <v>125</v>
      </c>
      <c r="C97" s="94" t="s">
        <v>504</v>
      </c>
      <c r="D97" s="94" t="s">
        <v>504</v>
      </c>
      <c r="E97" s="94" t="s">
        <v>504</v>
      </c>
      <c r="F97" s="94" t="s">
        <v>504</v>
      </c>
      <c r="G97" s="94" t="s">
        <v>504</v>
      </c>
      <c r="H97" s="91" t="s">
        <v>501</v>
      </c>
      <c r="I97" s="93" t="s">
        <v>504</v>
      </c>
      <c r="L97" s="146">
        <v>0</v>
      </c>
      <c r="M97" s="146">
        <v>0</v>
      </c>
      <c r="N97" s="146">
        <v>0</v>
      </c>
      <c r="O97" s="146" t="s">
        <v>561</v>
      </c>
      <c r="R97" s="146">
        <v>40</v>
      </c>
      <c r="S97" s="148" t="s">
        <v>175</v>
      </c>
      <c r="T97" s="146"/>
      <c r="U97" s="146"/>
      <c r="V97" s="146"/>
      <c r="W97" s="146" t="s">
        <v>561</v>
      </c>
      <c r="X97" s="153" t="s">
        <v>570</v>
      </c>
    </row>
    <row r="98" spans="1:24" ht="14.5" x14ac:dyDescent="0.3">
      <c r="A98" s="151">
        <v>41</v>
      </c>
      <c r="B98" s="91" t="s">
        <v>115</v>
      </c>
      <c r="C98" s="94" t="s">
        <v>504</v>
      </c>
      <c r="D98" s="94" t="s">
        <v>504</v>
      </c>
      <c r="E98" s="94" t="s">
        <v>504</v>
      </c>
      <c r="F98" s="94" t="s">
        <v>504</v>
      </c>
      <c r="G98" s="94" t="s">
        <v>504</v>
      </c>
      <c r="H98" s="91" t="s">
        <v>501</v>
      </c>
      <c r="I98" s="93" t="s">
        <v>504</v>
      </c>
      <c r="L98" s="146"/>
      <c r="M98" s="146"/>
      <c r="N98" s="146"/>
      <c r="O98" s="146"/>
      <c r="R98" s="146">
        <v>41</v>
      </c>
      <c r="S98" s="148" t="s">
        <v>191</v>
      </c>
      <c r="T98" s="146"/>
      <c r="U98" s="146"/>
      <c r="V98" s="146"/>
      <c r="W98" s="146" t="s">
        <v>561</v>
      </c>
      <c r="X98" s="153" t="s">
        <v>570</v>
      </c>
    </row>
    <row r="99" spans="1:24" ht="14.5" x14ac:dyDescent="0.3">
      <c r="A99" s="151">
        <v>42</v>
      </c>
      <c r="B99" s="91" t="s">
        <v>525</v>
      </c>
      <c r="C99" s="94" t="s">
        <v>504</v>
      </c>
      <c r="D99" s="94" t="s">
        <v>504</v>
      </c>
      <c r="E99" s="94" t="s">
        <v>504</v>
      </c>
      <c r="F99" s="94" t="s">
        <v>504</v>
      </c>
      <c r="G99" s="94" t="s">
        <v>504</v>
      </c>
      <c r="H99" s="91" t="s">
        <v>501</v>
      </c>
      <c r="I99" s="93" t="s">
        <v>504</v>
      </c>
      <c r="L99" s="146">
        <v>0</v>
      </c>
      <c r="M99" s="146">
        <v>0</v>
      </c>
      <c r="N99" s="146">
        <v>0</v>
      </c>
      <c r="O99" s="146" t="s">
        <v>561</v>
      </c>
    </row>
    <row r="100" spans="1:24" ht="14.5" x14ac:dyDescent="0.3">
      <c r="A100" s="151">
        <v>43</v>
      </c>
      <c r="B100" s="91" t="s">
        <v>526</v>
      </c>
      <c r="C100" s="94" t="s">
        <v>504</v>
      </c>
      <c r="D100" s="94" t="s">
        <v>504</v>
      </c>
      <c r="E100" s="94" t="s">
        <v>504</v>
      </c>
      <c r="F100" s="94" t="s">
        <v>504</v>
      </c>
      <c r="G100" s="94" t="s">
        <v>504</v>
      </c>
      <c r="H100" s="91" t="s">
        <v>501</v>
      </c>
      <c r="I100" s="93" t="s">
        <v>504</v>
      </c>
      <c r="L100" s="146">
        <v>0</v>
      </c>
      <c r="M100" s="146">
        <v>0</v>
      </c>
      <c r="N100" s="146">
        <v>0</v>
      </c>
      <c r="O100" s="146" t="s">
        <v>561</v>
      </c>
    </row>
    <row r="101" spans="1:24" ht="29" x14ac:dyDescent="0.3">
      <c r="A101" s="151">
        <v>44</v>
      </c>
      <c r="B101" s="91" t="s">
        <v>527</v>
      </c>
      <c r="C101" s="94" t="s">
        <v>504</v>
      </c>
      <c r="D101" s="94" t="s">
        <v>504</v>
      </c>
      <c r="E101" s="94" t="s">
        <v>504</v>
      </c>
      <c r="F101" s="94" t="s">
        <v>504</v>
      </c>
      <c r="G101" s="94" t="s">
        <v>504</v>
      </c>
      <c r="H101" s="91" t="s">
        <v>501</v>
      </c>
      <c r="I101" s="93" t="s">
        <v>504</v>
      </c>
      <c r="L101" s="146">
        <v>0</v>
      </c>
      <c r="M101" s="146">
        <v>0</v>
      </c>
      <c r="N101" s="146">
        <v>0</v>
      </c>
      <c r="O101" s="146" t="s">
        <v>561</v>
      </c>
    </row>
    <row r="102" spans="1:24" ht="14.5" x14ac:dyDescent="0.3">
      <c r="A102" s="151">
        <v>45</v>
      </c>
      <c r="B102" s="91" t="s">
        <v>528</v>
      </c>
      <c r="C102" s="94" t="s">
        <v>504</v>
      </c>
      <c r="D102" s="94" t="s">
        <v>504</v>
      </c>
      <c r="E102" s="94" t="s">
        <v>504</v>
      </c>
      <c r="F102" s="94" t="s">
        <v>504</v>
      </c>
      <c r="G102" s="94" t="s">
        <v>504</v>
      </c>
      <c r="H102" s="91" t="s">
        <v>501</v>
      </c>
      <c r="I102" s="93" t="s">
        <v>504</v>
      </c>
      <c r="L102" s="146">
        <v>0</v>
      </c>
      <c r="M102" s="146">
        <v>0</v>
      </c>
      <c r="N102" s="146">
        <v>0</v>
      </c>
      <c r="O102" s="146" t="s">
        <v>561</v>
      </c>
    </row>
    <row r="103" spans="1:24" ht="43.5" x14ac:dyDescent="0.3">
      <c r="A103" s="151">
        <v>46</v>
      </c>
      <c r="B103" s="91" t="s">
        <v>529</v>
      </c>
      <c r="C103" s="94" t="s">
        <v>504</v>
      </c>
      <c r="D103" s="94" t="s">
        <v>504</v>
      </c>
      <c r="E103" s="94" t="s">
        <v>504</v>
      </c>
      <c r="F103" s="94" t="s">
        <v>504</v>
      </c>
      <c r="G103" s="94" t="s">
        <v>504</v>
      </c>
      <c r="H103" s="91" t="s">
        <v>501</v>
      </c>
      <c r="I103" s="93" t="s">
        <v>504</v>
      </c>
      <c r="L103" s="146">
        <v>0</v>
      </c>
      <c r="M103" s="146">
        <v>0</v>
      </c>
      <c r="N103" s="146">
        <v>0</v>
      </c>
      <c r="O103" s="146" t="s">
        <v>561</v>
      </c>
    </row>
    <row r="104" spans="1:24" ht="29" x14ac:dyDescent="0.3">
      <c r="A104" s="151">
        <v>47</v>
      </c>
      <c r="B104" s="91" t="s">
        <v>530</v>
      </c>
      <c r="C104" s="94" t="s">
        <v>504</v>
      </c>
      <c r="D104" s="94" t="s">
        <v>504</v>
      </c>
      <c r="E104" s="94" t="s">
        <v>504</v>
      </c>
      <c r="F104" s="94" t="s">
        <v>504</v>
      </c>
      <c r="G104" s="94" t="s">
        <v>504</v>
      </c>
      <c r="H104" s="91" t="s">
        <v>501</v>
      </c>
      <c r="I104" s="93" t="s">
        <v>504</v>
      </c>
      <c r="L104" s="146"/>
      <c r="M104" s="146"/>
      <c r="N104" s="146"/>
      <c r="O104" s="146"/>
    </row>
    <row r="105" spans="1:24" ht="14.5" x14ac:dyDescent="0.3">
      <c r="A105" s="151">
        <v>48</v>
      </c>
      <c r="B105" s="91" t="s">
        <v>531</v>
      </c>
      <c r="C105" s="94" t="s">
        <v>504</v>
      </c>
      <c r="D105" s="94" t="s">
        <v>504</v>
      </c>
      <c r="E105" s="94" t="s">
        <v>504</v>
      </c>
      <c r="F105" s="94" t="s">
        <v>504</v>
      </c>
      <c r="G105" s="94" t="s">
        <v>504</v>
      </c>
      <c r="H105" s="91" t="s">
        <v>501</v>
      </c>
      <c r="I105" s="93" t="s">
        <v>504</v>
      </c>
      <c r="L105" s="146"/>
      <c r="M105" s="146"/>
      <c r="N105" s="146"/>
      <c r="O105" s="146"/>
    </row>
    <row r="106" spans="1:24" ht="14.5" x14ac:dyDescent="0.3">
      <c r="A106" s="151">
        <v>49</v>
      </c>
      <c r="B106" s="91" t="s">
        <v>532</v>
      </c>
      <c r="C106" s="94" t="s">
        <v>504</v>
      </c>
      <c r="D106" s="94" t="s">
        <v>504</v>
      </c>
      <c r="E106" s="94" t="s">
        <v>504</v>
      </c>
      <c r="F106" s="94" t="s">
        <v>504</v>
      </c>
      <c r="G106" s="94" t="s">
        <v>504</v>
      </c>
      <c r="H106" s="91" t="s">
        <v>501</v>
      </c>
      <c r="I106" s="93" t="s">
        <v>504</v>
      </c>
      <c r="L106" s="146"/>
      <c r="M106" s="146"/>
      <c r="N106" s="146"/>
      <c r="O106" s="146"/>
    </row>
    <row r="107" spans="1:24" ht="14.5" x14ac:dyDescent="0.3">
      <c r="A107" s="151">
        <v>50</v>
      </c>
      <c r="B107" s="91" t="s">
        <v>533</v>
      </c>
      <c r="C107" s="94" t="s">
        <v>504</v>
      </c>
      <c r="D107" s="94" t="s">
        <v>504</v>
      </c>
      <c r="E107" s="94" t="s">
        <v>504</v>
      </c>
      <c r="F107" s="94" t="s">
        <v>504</v>
      </c>
      <c r="G107" s="94" t="s">
        <v>504</v>
      </c>
      <c r="H107" s="91" t="s">
        <v>501</v>
      </c>
      <c r="I107" s="93" t="s">
        <v>504</v>
      </c>
      <c r="L107" s="146"/>
      <c r="M107" s="146"/>
      <c r="N107" s="146"/>
      <c r="O107" s="146"/>
    </row>
    <row r="108" spans="1:24" ht="14.5" x14ac:dyDescent="0.3">
      <c r="A108" s="151">
        <v>51</v>
      </c>
      <c r="B108" s="91" t="s">
        <v>534</v>
      </c>
      <c r="C108" s="94" t="s">
        <v>504</v>
      </c>
      <c r="D108" s="94" t="s">
        <v>504</v>
      </c>
      <c r="E108" s="94" t="s">
        <v>504</v>
      </c>
      <c r="F108" s="94" t="s">
        <v>504</v>
      </c>
      <c r="G108" s="94" t="s">
        <v>504</v>
      </c>
      <c r="H108" s="91" t="s">
        <v>501</v>
      </c>
      <c r="I108" s="93" t="s">
        <v>504</v>
      </c>
      <c r="L108" s="146"/>
      <c r="M108" s="146"/>
      <c r="N108" s="146"/>
      <c r="O108" s="146"/>
    </row>
    <row r="109" spans="1:24" ht="14.5" x14ac:dyDescent="0.3">
      <c r="A109" s="151">
        <v>52</v>
      </c>
      <c r="B109" s="91" t="s">
        <v>120</v>
      </c>
      <c r="C109" s="94" t="s">
        <v>504</v>
      </c>
      <c r="D109" s="94" t="s">
        <v>504</v>
      </c>
      <c r="E109" s="94" t="s">
        <v>504</v>
      </c>
      <c r="F109" s="94" t="s">
        <v>504</v>
      </c>
      <c r="G109" s="94" t="s">
        <v>504</v>
      </c>
      <c r="H109" s="91" t="s">
        <v>501</v>
      </c>
      <c r="I109" s="93" t="s">
        <v>504</v>
      </c>
      <c r="L109" s="146"/>
      <c r="M109" s="146"/>
      <c r="N109" s="146"/>
      <c r="O109" s="146"/>
    </row>
    <row r="110" spans="1:24" ht="14.5" x14ac:dyDescent="0.3">
      <c r="A110" s="151">
        <v>53</v>
      </c>
      <c r="B110" s="91" t="s">
        <v>124</v>
      </c>
      <c r="C110" s="94" t="s">
        <v>504</v>
      </c>
      <c r="D110" s="94" t="s">
        <v>504</v>
      </c>
      <c r="E110" s="94" t="s">
        <v>504</v>
      </c>
      <c r="F110" s="94" t="s">
        <v>504</v>
      </c>
      <c r="G110" s="94" t="s">
        <v>504</v>
      </c>
      <c r="H110" s="91" t="s">
        <v>501</v>
      </c>
      <c r="I110" s="93" t="s">
        <v>504</v>
      </c>
      <c r="L110" s="146"/>
      <c r="M110" s="146"/>
      <c r="N110" s="146"/>
      <c r="O110" s="146"/>
    </row>
    <row r="111" spans="1:24" ht="29" x14ac:dyDescent="0.3">
      <c r="A111" s="151">
        <v>54</v>
      </c>
      <c r="B111" s="91" t="s">
        <v>535</v>
      </c>
      <c r="C111" s="94" t="s">
        <v>504</v>
      </c>
      <c r="D111" s="94" t="s">
        <v>504</v>
      </c>
      <c r="E111" s="94" t="s">
        <v>504</v>
      </c>
      <c r="F111" s="94" t="s">
        <v>504</v>
      </c>
      <c r="G111" s="94" t="s">
        <v>504</v>
      </c>
      <c r="H111" s="91" t="s">
        <v>501</v>
      </c>
      <c r="I111" s="93" t="s">
        <v>504</v>
      </c>
      <c r="L111" s="146"/>
      <c r="M111" s="146"/>
      <c r="N111" s="146"/>
      <c r="O111" s="146"/>
    </row>
    <row r="112" spans="1:24" ht="14.5" x14ac:dyDescent="0.3">
      <c r="A112" s="151">
        <v>55</v>
      </c>
      <c r="B112" s="91" t="s">
        <v>536</v>
      </c>
      <c r="C112" s="94" t="s">
        <v>504</v>
      </c>
      <c r="D112" s="94" t="s">
        <v>504</v>
      </c>
      <c r="E112" s="94" t="s">
        <v>504</v>
      </c>
      <c r="F112" s="94" t="s">
        <v>504</v>
      </c>
      <c r="G112" s="94" t="s">
        <v>504</v>
      </c>
      <c r="H112" s="91" t="s">
        <v>501</v>
      </c>
      <c r="I112" s="93" t="s">
        <v>504</v>
      </c>
      <c r="L112" s="146"/>
      <c r="M112" s="146"/>
      <c r="N112" s="146"/>
      <c r="O112" s="146"/>
    </row>
    <row r="113" spans="1:15" ht="14.5" x14ac:dyDescent="0.3">
      <c r="A113" s="151">
        <v>56</v>
      </c>
      <c r="B113" s="91" t="s">
        <v>537</v>
      </c>
      <c r="C113" s="94" t="s">
        <v>504</v>
      </c>
      <c r="D113" s="94" t="s">
        <v>504</v>
      </c>
      <c r="E113" s="94" t="s">
        <v>504</v>
      </c>
      <c r="F113" s="94" t="s">
        <v>504</v>
      </c>
      <c r="G113" s="94" t="s">
        <v>504</v>
      </c>
      <c r="H113" s="91" t="s">
        <v>501</v>
      </c>
      <c r="I113" s="93" t="s">
        <v>504</v>
      </c>
      <c r="L113" s="146"/>
      <c r="M113" s="146"/>
      <c r="N113" s="146"/>
      <c r="O113" s="146"/>
    </row>
    <row r="114" spans="1:15" ht="14.5" x14ac:dyDescent="0.3">
      <c r="A114" s="151">
        <v>57</v>
      </c>
      <c r="B114" s="91" t="s">
        <v>538</v>
      </c>
      <c r="C114" s="94" t="s">
        <v>504</v>
      </c>
      <c r="D114" s="94" t="s">
        <v>504</v>
      </c>
      <c r="E114" s="94" t="s">
        <v>504</v>
      </c>
      <c r="F114" s="94" t="s">
        <v>504</v>
      </c>
      <c r="G114" s="94" t="s">
        <v>504</v>
      </c>
      <c r="H114" s="91" t="s">
        <v>501</v>
      </c>
      <c r="I114" s="93" t="s">
        <v>504</v>
      </c>
      <c r="L114" s="146"/>
      <c r="M114" s="146"/>
      <c r="N114" s="146"/>
      <c r="O114" s="146"/>
    </row>
    <row r="115" spans="1:15" ht="14.5" x14ac:dyDescent="0.3">
      <c r="A115" s="151">
        <v>58</v>
      </c>
      <c r="B115" s="91" t="s">
        <v>539</v>
      </c>
      <c r="C115" s="94" t="s">
        <v>504</v>
      </c>
      <c r="D115" s="94" t="s">
        <v>504</v>
      </c>
      <c r="E115" s="94" t="s">
        <v>504</v>
      </c>
      <c r="F115" s="94" t="s">
        <v>504</v>
      </c>
      <c r="G115" s="94" t="s">
        <v>504</v>
      </c>
      <c r="H115" s="91" t="s">
        <v>501</v>
      </c>
      <c r="I115" s="93" t="s">
        <v>504</v>
      </c>
      <c r="L115" s="146"/>
      <c r="M115" s="146"/>
      <c r="N115" s="146"/>
      <c r="O115" s="146"/>
    </row>
    <row r="116" spans="1:15" ht="29" x14ac:dyDescent="0.3">
      <c r="A116" s="151">
        <v>59</v>
      </c>
      <c r="B116" s="91" t="s">
        <v>540</v>
      </c>
      <c r="C116" s="94" t="s">
        <v>504</v>
      </c>
      <c r="D116" s="94" t="s">
        <v>504</v>
      </c>
      <c r="E116" s="94" t="s">
        <v>504</v>
      </c>
      <c r="F116" s="94" t="s">
        <v>504</v>
      </c>
      <c r="G116" s="94" t="s">
        <v>504</v>
      </c>
      <c r="H116" s="91" t="s">
        <v>501</v>
      </c>
      <c r="I116" s="93" t="s">
        <v>504</v>
      </c>
      <c r="L116" s="146"/>
      <c r="M116" s="146"/>
      <c r="N116" s="146"/>
      <c r="O116" s="146"/>
    </row>
    <row r="117" spans="1:15" ht="14.5" x14ac:dyDescent="0.3">
      <c r="A117" s="151">
        <v>60</v>
      </c>
      <c r="B117" s="91" t="s">
        <v>541</v>
      </c>
      <c r="C117" s="94" t="s">
        <v>504</v>
      </c>
      <c r="D117" s="94" t="s">
        <v>504</v>
      </c>
      <c r="E117" s="94" t="s">
        <v>504</v>
      </c>
      <c r="F117" s="94" t="s">
        <v>504</v>
      </c>
      <c r="G117" s="94" t="s">
        <v>504</v>
      </c>
      <c r="H117" s="91" t="s">
        <v>501</v>
      </c>
      <c r="I117" s="93" t="s">
        <v>504</v>
      </c>
      <c r="L117" s="146"/>
      <c r="M117" s="146"/>
      <c r="N117" s="146"/>
      <c r="O117" s="146"/>
    </row>
    <row r="118" spans="1:15" ht="14.5" x14ac:dyDescent="0.3">
      <c r="A118" s="151">
        <v>61</v>
      </c>
      <c r="B118" s="91" t="s">
        <v>542</v>
      </c>
      <c r="C118" s="94" t="s">
        <v>504</v>
      </c>
      <c r="D118" s="94" t="s">
        <v>504</v>
      </c>
      <c r="E118" s="94" t="s">
        <v>504</v>
      </c>
      <c r="F118" s="94" t="s">
        <v>504</v>
      </c>
      <c r="G118" s="94" t="s">
        <v>504</v>
      </c>
      <c r="H118" s="94" t="s">
        <v>504</v>
      </c>
      <c r="I118" s="92" t="s">
        <v>501</v>
      </c>
      <c r="L118" s="146"/>
      <c r="M118" s="146"/>
      <c r="N118" s="146"/>
      <c r="O118" s="146"/>
    </row>
    <row r="119" spans="1:15" ht="14.5" x14ac:dyDescent="0.3">
      <c r="A119" s="151">
        <v>62</v>
      </c>
      <c r="B119" s="91" t="s">
        <v>543</v>
      </c>
      <c r="C119" s="94" t="s">
        <v>504</v>
      </c>
      <c r="D119" s="94" t="s">
        <v>504</v>
      </c>
      <c r="E119" s="94" t="s">
        <v>504</v>
      </c>
      <c r="F119" s="94" t="s">
        <v>504</v>
      </c>
      <c r="G119" s="94" t="s">
        <v>504</v>
      </c>
      <c r="H119" s="94" t="s">
        <v>504</v>
      </c>
      <c r="I119" s="92" t="s">
        <v>501</v>
      </c>
      <c r="L119" s="146"/>
      <c r="M119" s="146"/>
      <c r="N119" s="146"/>
      <c r="O119" s="146"/>
    </row>
    <row r="120" spans="1:15" ht="14.5" x14ac:dyDescent="0.3">
      <c r="A120" s="151">
        <v>63</v>
      </c>
      <c r="B120" s="91" t="s">
        <v>544</v>
      </c>
      <c r="C120" s="94" t="s">
        <v>504</v>
      </c>
      <c r="D120" s="94" t="s">
        <v>504</v>
      </c>
      <c r="E120" s="94" t="s">
        <v>504</v>
      </c>
      <c r="F120" s="94" t="s">
        <v>504</v>
      </c>
      <c r="G120" s="94" t="s">
        <v>504</v>
      </c>
      <c r="H120" s="94" t="s">
        <v>504</v>
      </c>
      <c r="I120" s="92" t="s">
        <v>501</v>
      </c>
      <c r="L120" s="146"/>
      <c r="M120" s="146"/>
      <c r="N120" s="146"/>
      <c r="O120" s="146"/>
    </row>
    <row r="121" spans="1:15" ht="14.5" x14ac:dyDescent="0.3">
      <c r="A121" s="151">
        <v>64</v>
      </c>
      <c r="B121" s="91" t="s">
        <v>545</v>
      </c>
      <c r="C121" s="94" t="s">
        <v>504</v>
      </c>
      <c r="D121" s="94" t="s">
        <v>504</v>
      </c>
      <c r="E121" s="94" t="s">
        <v>504</v>
      </c>
      <c r="F121" s="94" t="s">
        <v>504</v>
      </c>
      <c r="G121" s="94" t="s">
        <v>504</v>
      </c>
      <c r="H121" s="94" t="s">
        <v>504</v>
      </c>
      <c r="I121" s="92" t="s">
        <v>501</v>
      </c>
      <c r="L121" s="146"/>
      <c r="M121" s="146"/>
      <c r="N121" s="146"/>
      <c r="O121" s="146"/>
    </row>
    <row r="122" spans="1:15" ht="14.5" x14ac:dyDescent="0.3">
      <c r="A122" s="151">
        <v>65</v>
      </c>
      <c r="B122" s="91" t="s">
        <v>546</v>
      </c>
      <c r="C122" s="94" t="s">
        <v>504</v>
      </c>
      <c r="D122" s="94" t="s">
        <v>504</v>
      </c>
      <c r="E122" s="94" t="s">
        <v>504</v>
      </c>
      <c r="F122" s="94" t="s">
        <v>504</v>
      </c>
      <c r="G122" s="94" t="s">
        <v>504</v>
      </c>
      <c r="H122" s="94" t="s">
        <v>504</v>
      </c>
      <c r="I122" s="92" t="s">
        <v>501</v>
      </c>
      <c r="L122" s="146"/>
      <c r="M122" s="146"/>
      <c r="N122" s="146"/>
      <c r="O122" s="146"/>
    </row>
    <row r="123" spans="1:15" ht="14.5" x14ac:dyDescent="0.3">
      <c r="A123" s="151">
        <v>66</v>
      </c>
      <c r="B123" s="91" t="s">
        <v>547</v>
      </c>
      <c r="C123" s="94" t="s">
        <v>504</v>
      </c>
      <c r="D123" s="94" t="s">
        <v>504</v>
      </c>
      <c r="E123" s="94" t="s">
        <v>504</v>
      </c>
      <c r="F123" s="94" t="s">
        <v>504</v>
      </c>
      <c r="G123" s="94" t="s">
        <v>504</v>
      </c>
      <c r="H123" s="94" t="s">
        <v>504</v>
      </c>
      <c r="I123" s="92" t="s">
        <v>501</v>
      </c>
      <c r="L123" s="146"/>
      <c r="M123" s="146"/>
      <c r="N123" s="146"/>
      <c r="O123" s="146"/>
    </row>
    <row r="124" spans="1:15" ht="29" x14ac:dyDescent="0.3">
      <c r="A124" s="152">
        <v>67</v>
      </c>
      <c r="B124" s="95" t="s">
        <v>548</v>
      </c>
      <c r="C124" s="96" t="s">
        <v>504</v>
      </c>
      <c r="D124" s="96" t="s">
        <v>504</v>
      </c>
      <c r="E124" s="96" t="s">
        <v>504</v>
      </c>
      <c r="F124" s="96" t="s">
        <v>504</v>
      </c>
      <c r="G124" s="96" t="s">
        <v>504</v>
      </c>
      <c r="H124" s="96" t="s">
        <v>504</v>
      </c>
      <c r="I124" s="97" t="s">
        <v>501</v>
      </c>
      <c r="L124" s="146"/>
      <c r="M124" s="146"/>
      <c r="N124" s="146"/>
      <c r="O124" s="146"/>
    </row>
  </sheetData>
  <autoFilter ref="L57:O84" xr:uid="{32A20509-38F1-490E-8A4C-0B1C2A8CB428}"/>
  <mergeCells count="2">
    <mergeCell ref="A1:E1"/>
    <mergeCell ref="T56:W56"/>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D3129A-85AE-41EB-AD9A-6B61619232C8}">
  <dimension ref="A1:D5"/>
  <sheetViews>
    <sheetView workbookViewId="0">
      <selection activeCell="B5" sqref="B5"/>
    </sheetView>
  </sheetViews>
  <sheetFormatPr defaultRowHeight="13" x14ac:dyDescent="0.3"/>
  <cols>
    <col min="1" max="1" width="4.54296875" style="1" bestFit="1" customWidth="1"/>
    <col min="2" max="2" width="33.453125" style="1" customWidth="1"/>
    <col min="3" max="3" width="43.7265625" style="1" customWidth="1"/>
    <col min="4" max="4" width="67.81640625" style="1" customWidth="1"/>
    <col min="5" max="16384" width="8.7265625" style="1"/>
  </cols>
  <sheetData>
    <row r="1" spans="1:4" ht="26" x14ac:dyDescent="0.3">
      <c r="A1" s="52" t="s">
        <v>214</v>
      </c>
      <c r="B1" s="52" t="s">
        <v>355</v>
      </c>
      <c r="C1" s="52" t="s">
        <v>358</v>
      </c>
      <c r="D1" s="53" t="s">
        <v>356</v>
      </c>
    </row>
    <row r="2" spans="1:4" x14ac:dyDescent="0.3">
      <c r="A2" s="50">
        <v>1</v>
      </c>
      <c r="B2" s="50" t="s">
        <v>357</v>
      </c>
      <c r="C2" s="50" t="s">
        <v>359</v>
      </c>
      <c r="D2" s="50" t="s">
        <v>360</v>
      </c>
    </row>
    <row r="3" spans="1:4" x14ac:dyDescent="0.3">
      <c r="A3" s="50">
        <v>2</v>
      </c>
      <c r="B3" s="50" t="s">
        <v>361</v>
      </c>
      <c r="C3" s="50" t="s">
        <v>359</v>
      </c>
      <c r="D3" s="50" t="s">
        <v>363</v>
      </c>
    </row>
    <row r="4" spans="1:4" ht="26" x14ac:dyDescent="0.3">
      <c r="A4" s="50">
        <v>3</v>
      </c>
      <c r="B4" s="50" t="s">
        <v>362</v>
      </c>
      <c r="C4" s="50" t="s">
        <v>359</v>
      </c>
      <c r="D4" s="51" t="s">
        <v>364</v>
      </c>
    </row>
    <row r="5" spans="1:4" ht="26" x14ac:dyDescent="0.3">
      <c r="A5" s="50">
        <v>4</v>
      </c>
      <c r="B5" s="51" t="s">
        <v>365</v>
      </c>
      <c r="C5" s="50" t="s">
        <v>359</v>
      </c>
      <c r="D5" s="51" t="s">
        <v>366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0D4B72373CAA546B5DDE4E245DCD387" ma:contentTypeVersion="11" ma:contentTypeDescription="Create a new document." ma:contentTypeScope="" ma:versionID="991bcdee050b85b9e80b76073feda546">
  <xsd:schema xmlns:xsd="http://www.w3.org/2001/XMLSchema" xmlns:xs="http://www.w3.org/2001/XMLSchema" xmlns:p="http://schemas.microsoft.com/office/2006/metadata/properties" xmlns:ns2="09738652-b8e6-4ee6-a921-fe24eafbf1a1" xmlns:ns3="32d0ecd0-7ed8-49cb-a7ad-c3ff636e2f20" targetNamespace="http://schemas.microsoft.com/office/2006/metadata/properties" ma:root="true" ma:fieldsID="c1ebd4cdcebbd079f10115f471014120" ns2:_="" ns3:_="">
    <xsd:import namespace="09738652-b8e6-4ee6-a921-fe24eafbf1a1"/>
    <xsd:import namespace="32d0ecd0-7ed8-49cb-a7ad-c3ff636e2f2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9738652-b8e6-4ee6-a921-fe24eafbf1a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4e1f35fb-051d-46a5-87ee-9d5bddbc57ce"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BillingMetadata" ma:index="18"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2d0ecd0-7ed8-49cb-a7ad-c3ff636e2f2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c4c4d67-ca92-45f8-b163-274bf20b57d8}" ma:internalName="TaxCatchAll" ma:showField="CatchAllData" ma:web="32d0ecd0-7ed8-49cb-a7ad-c3ff636e2f2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32d0ecd0-7ed8-49cb-a7ad-c3ff636e2f20" xsi:nil="true"/>
    <lcf76f155ced4ddcb4097134ff3c332f xmlns="09738652-b8e6-4ee6-a921-fe24eafbf1a1">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4403B7B-3361-4021-9588-7E3ADDA86A9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9738652-b8e6-4ee6-a921-fe24eafbf1a1"/>
    <ds:schemaRef ds:uri="32d0ecd0-7ed8-49cb-a7ad-c3ff636e2f2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2D65BE2-3912-4FB0-93A6-4BB69C683E2D}">
  <ds:schemaRefs>
    <ds:schemaRef ds:uri="http://purl.org/dc/elements/1.1/"/>
    <ds:schemaRef ds:uri="http://schemas.microsoft.com/office/2006/documentManagement/types"/>
    <ds:schemaRef ds:uri="http://www.w3.org/XML/1998/namespace"/>
    <ds:schemaRef ds:uri="http://purl.org/dc/dcmitype/"/>
    <ds:schemaRef ds:uri="09738652-b8e6-4ee6-a921-fe24eafbf1a1"/>
    <ds:schemaRef ds:uri="http://schemas.microsoft.com/office/2006/metadata/properties"/>
    <ds:schemaRef ds:uri="http://schemas.microsoft.com/office/infopath/2007/PartnerControls"/>
    <ds:schemaRef ds:uri="http://schemas.openxmlformats.org/package/2006/metadata/core-properties"/>
    <ds:schemaRef ds:uri="32d0ecd0-7ed8-49cb-a7ad-c3ff636e2f20"/>
    <ds:schemaRef ds:uri="http://purl.org/dc/terms/"/>
  </ds:schemaRefs>
</ds:datastoreItem>
</file>

<file path=customXml/itemProps3.xml><?xml version="1.0" encoding="utf-8"?>
<ds:datastoreItem xmlns:ds="http://schemas.openxmlformats.org/officeDocument/2006/customXml" ds:itemID="{46EFE3DE-33FD-4B29-B0A9-C911F2BA6CC2}">
  <ds:schemaRefs>
    <ds:schemaRef ds:uri="http://schemas.microsoft.com/sharepoint/v3/contenttype/forms"/>
  </ds:schemaRefs>
</ds:datastoreItem>
</file>

<file path=docMetadata/LabelInfo.xml><?xml version="1.0" encoding="utf-8"?>
<clbl:labelList xmlns:clbl="http://schemas.microsoft.com/office/2020/mipLabelMetadata">
  <clbl:label id="{7007305e-2664-4e6b-b9a4-c4d5ccfd1524}" enabled="0" method="" siteId="{7007305e-2664-4e6b-b9a4-c4d5ccfd1524}"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PBT PA</vt:lpstr>
      <vt:lpstr>Eligibility</vt:lpstr>
      <vt:lpstr>PPD PTD Tables</vt:lpstr>
      <vt:lpstr>CI List</vt:lpstr>
      <vt:lpstr>Waiting Periods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Supriya Singh</dc:creator>
  <cp:keywords/>
  <dc:description/>
  <cp:lastModifiedBy>Supriya Singh</cp:lastModifiedBy>
  <cp:revision/>
  <dcterms:created xsi:type="dcterms:W3CDTF">2025-08-29T07:05:48Z</dcterms:created>
  <dcterms:modified xsi:type="dcterms:W3CDTF">2026-05-12T07:00:15Z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0x010100F0D4B72373CAA546B5DDE4E245DCD387</vt:lpwstr>
  </property>
  <property fmtid="{D5CDD505-2E9C-101B-9397-08002B2CF9AE}" pid="3" name="MediaServiceImageTags">
    <vt:lpwstr/>
  </property>
</Properties>
</file>